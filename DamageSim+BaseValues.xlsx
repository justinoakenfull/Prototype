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ames\exedev\Prototype\Prototype\"/>
    </mc:Choice>
  </mc:AlternateContent>
  <xr:revisionPtr revIDLastSave="0" documentId="8_{78429D0B-11DD-4C4E-A200-F7738CACC715}" xr6:coauthVersionLast="46" xr6:coauthVersionMax="46" xr10:uidLastSave="{00000000-0000-0000-0000-000000000000}"/>
  <bookViews>
    <workbookView xWindow="-120" yWindow="-120" windowWidth="29040" windowHeight="15840" xr2:uid="{2FE1A4C0-8E16-495D-B1C7-0D04D6773A80}"/>
  </bookViews>
  <sheets>
    <sheet name="DamageSim" sheetId="1" r:id="rId1"/>
    <sheet name="IntellectBase" sheetId="4" r:id="rId2"/>
    <sheet name="VitalityBase" sheetId="3" r:id="rId3"/>
    <sheet name="AgilityBase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33" i="1" s="1"/>
  <c r="H32" i="1" s="1"/>
  <c r="H34" i="1" s="1"/>
  <c r="H28" i="1"/>
  <c r="H18" i="1"/>
  <c r="H21" i="1" s="1"/>
  <c r="H17" i="1"/>
  <c r="H31" i="1"/>
  <c r="H8" i="1"/>
  <c r="H11" i="1" s="1"/>
  <c r="H7" i="1"/>
  <c r="B30" i="1"/>
  <c r="A30" i="1" s="1"/>
  <c r="H29" i="1" l="1"/>
  <c r="H30" i="1" s="1"/>
  <c r="A7" i="1" s="1"/>
  <c r="A8" i="1" s="1"/>
  <c r="H10" i="1"/>
  <c r="H12" i="1" s="1"/>
  <c r="H15" i="1" s="1"/>
  <c r="H20" i="1"/>
  <c r="H22" i="1" s="1"/>
  <c r="H25" i="1" s="1"/>
  <c r="A12" i="1" l="1"/>
  <c r="A10" i="1"/>
  <c r="A11" i="1"/>
  <c r="A9" i="1"/>
</calcChain>
</file>

<file path=xl/sharedStrings.xml><?xml version="1.0" encoding="utf-8"?>
<sst xmlns="http://schemas.openxmlformats.org/spreadsheetml/2006/main" count="56" uniqueCount="51">
  <si>
    <t>Level</t>
  </si>
  <si>
    <t>IntBase</t>
  </si>
  <si>
    <t>AgilityBase</t>
  </si>
  <si>
    <t>VitalityBase</t>
  </si>
  <si>
    <t>BaseMana</t>
  </si>
  <si>
    <t>calc const</t>
  </si>
  <si>
    <t>lookup level</t>
  </si>
  <si>
    <t>HealthBase</t>
  </si>
  <si>
    <t>AbilityDamageBase</t>
  </si>
  <si>
    <t>AttackSpeedBase</t>
  </si>
  <si>
    <t>INPUTS</t>
  </si>
  <si>
    <t>Character Level</t>
  </si>
  <si>
    <t>From 1- 60</t>
  </si>
  <si>
    <t>Enter the character level, it will fetch the base values dependant on the character level</t>
  </si>
  <si>
    <t>and will calculate the damage done by the LMB ability</t>
  </si>
  <si>
    <t>&lt;------------</t>
  </si>
  <si>
    <t>^^^^^^^^</t>
  </si>
  <si>
    <t>Ability Damage</t>
  </si>
  <si>
    <t>Ability DPS(assuming only LMB)</t>
  </si>
  <si>
    <t>Current time-to-kill(assuming mob level == character)</t>
  </si>
  <si>
    <t>Int</t>
  </si>
  <si>
    <t>ManaBase</t>
  </si>
  <si>
    <t>ManaMod</t>
  </si>
  <si>
    <t>ManaMax</t>
  </si>
  <si>
    <t>ManaCurrent</t>
  </si>
  <si>
    <t>ManaRegen</t>
  </si>
  <si>
    <t>ManaRegenBase</t>
  </si>
  <si>
    <t>ManaRegenMod</t>
  </si>
  <si>
    <t>ManaPer5</t>
  </si>
  <si>
    <t>Vitality</t>
  </si>
  <si>
    <t>HealthMod</t>
  </si>
  <si>
    <t>HealthMax</t>
  </si>
  <si>
    <t>HealthCurrent</t>
  </si>
  <si>
    <t>HealthRegen</t>
  </si>
  <si>
    <t>HealthRegenBase</t>
  </si>
  <si>
    <t>HealthRegenMod</t>
  </si>
  <si>
    <t>HealthPer5</t>
  </si>
  <si>
    <t>Agility</t>
  </si>
  <si>
    <t>AbilityDMGBase</t>
  </si>
  <si>
    <t>AbilityDMGMod</t>
  </si>
  <si>
    <t>AbilityDMGCurrent</t>
  </si>
  <si>
    <t>AttackSpeedModIFTEST</t>
  </si>
  <si>
    <t>AttackSpeedMod</t>
  </si>
  <si>
    <t>AttackSpeedCurrent</t>
  </si>
  <si>
    <t>AbilityDMGMod gained per Agility</t>
  </si>
  <si>
    <t>AbilityDMGMod gained per 5 Intellect</t>
  </si>
  <si>
    <t>Current TTK in minutes</t>
  </si>
  <si>
    <t>Current TTK in seconds</t>
  </si>
  <si>
    <t>Current TTK in hours</t>
  </si>
  <si>
    <t xml:space="preserve">This sim uses INT/VIT/AGI from the base value, real calculation should use </t>
  </si>
  <si>
    <t>IntellectCurr/VitalityCurr/AgilityCurr. (e.g.IntellectBase * IntellectMod)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</si>
</sst>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1" applyNumberFormat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1"/>
    <xf numFmtId="0" fontId="1" fillId="2" borderId="0" xfId="1" applyNumberFormat="1"/>
    <xf numFmtId="0" fontId="2" fillId="3" borderId="1" xfId="2" applyAlignment="1">
      <alignment horizontal="center"/>
    </xf>
    <xf numFmtId="0" fontId="0" fillId="5" borderId="0" xfId="0" applyFill="1"/>
    <xf numFmtId="0" fontId="4" fillId="5" borderId="0" xfId="4" applyFill="1"/>
    <xf numFmtId="0" fontId="4" fillId="6" borderId="0" xfId="4" applyFill="1" applyAlignment="1">
      <alignment horizontal="center"/>
    </xf>
    <xf numFmtId="0" fontId="3" fillId="4" borderId="1" xfId="3"/>
    <xf numFmtId="0" fontId="0" fillId="0" borderId="0" xfId="0" applyAlignment="1">
      <alignment horizontal="right"/>
    </xf>
    <xf numFmtId="0" fontId="4" fillId="0" borderId="0" xfId="4" applyAlignment="1">
      <alignment horizontal="center" vertical="center"/>
    </xf>
  </cellXfs>
  <cellStyles count="5">
    <cellStyle name="Bad" xfId="1" builtinId="27"/>
    <cellStyle name="Calculation" xfId="3" builtinId="22"/>
    <cellStyle name="Explanatory Text" xfId="4" builtinId="53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7CFF-7B5B-4EDB-ACC6-0255068D08B5}">
  <dimension ref="A1:N38"/>
  <sheetViews>
    <sheetView tabSelected="1" workbookViewId="0">
      <selection activeCell="P3" sqref="P3"/>
    </sheetView>
  </sheetViews>
  <sheetFormatPr defaultRowHeight="15" x14ac:dyDescent="0.25"/>
  <cols>
    <col min="3" max="3" width="10.140625" bestFit="1" customWidth="1"/>
  </cols>
  <sheetData>
    <row r="1" spans="1:14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6" t="s">
        <v>10</v>
      </c>
      <c r="B2" s="4"/>
      <c r="C2" s="4"/>
      <c r="D2" s="4"/>
      <c r="E2" s="9" t="s">
        <v>13</v>
      </c>
      <c r="F2" s="9"/>
      <c r="G2" s="9"/>
      <c r="H2" s="9"/>
      <c r="I2" s="9"/>
      <c r="J2" s="9"/>
      <c r="K2" s="9"/>
      <c r="L2" s="9"/>
      <c r="M2" s="9"/>
      <c r="N2" s="4"/>
    </row>
    <row r="3" spans="1:14" x14ac:dyDescent="0.25">
      <c r="A3" s="4"/>
      <c r="B3" s="4"/>
      <c r="C3" s="4"/>
      <c r="D3" s="4"/>
      <c r="E3" s="9" t="s">
        <v>14</v>
      </c>
      <c r="F3" s="9"/>
      <c r="G3" s="9"/>
      <c r="H3" s="9"/>
      <c r="I3" s="9"/>
      <c r="J3" s="9"/>
      <c r="K3" s="9"/>
      <c r="L3" s="9"/>
      <c r="M3" s="9"/>
      <c r="N3" s="4"/>
    </row>
    <row r="4" spans="1:14" x14ac:dyDescent="0.25">
      <c r="A4" s="1" t="s">
        <v>11</v>
      </c>
      <c r="B4" s="1"/>
      <c r="C4" s="2" t="s">
        <v>12</v>
      </c>
      <c r="D4" s="4"/>
      <c r="E4" s="9" t="s">
        <v>49</v>
      </c>
      <c r="F4" s="9"/>
      <c r="G4" s="9"/>
      <c r="H4" s="9"/>
      <c r="I4" s="9"/>
      <c r="J4" s="9"/>
      <c r="K4" s="9"/>
      <c r="L4" s="9"/>
      <c r="M4" s="9"/>
      <c r="N4" s="4"/>
    </row>
    <row r="5" spans="1:14" x14ac:dyDescent="0.25">
      <c r="A5" s="3">
        <v>60</v>
      </c>
      <c r="B5" s="3"/>
      <c r="C5" s="4" t="s">
        <v>15</v>
      </c>
      <c r="D5" s="4"/>
      <c r="E5" s="9" t="s">
        <v>50</v>
      </c>
      <c r="F5" s="9"/>
      <c r="G5" s="9"/>
      <c r="H5" s="9"/>
      <c r="I5" s="9"/>
      <c r="J5" s="9"/>
      <c r="K5" s="9"/>
      <c r="L5" s="9"/>
      <c r="M5" s="9"/>
      <c r="N5" s="4"/>
    </row>
    <row r="6" spans="1:14" x14ac:dyDescent="0.25">
      <c r="A6" s="4" t="s">
        <v>16</v>
      </c>
      <c r="B6" s="4" t="s">
        <v>16</v>
      </c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4"/>
    </row>
    <row r="7" spans="1:14" x14ac:dyDescent="0.25">
      <c r="A7">
        <f>H30</f>
        <v>452</v>
      </c>
      <c r="B7" t="s">
        <v>17</v>
      </c>
      <c r="G7" s="4"/>
      <c r="H7" s="7">
        <f>LOOKUP($A$5,IntellectBase!A2:A61,IntellectBase!B2:B61)</f>
        <v>125</v>
      </c>
      <c r="I7" s="7" t="s">
        <v>20</v>
      </c>
      <c r="J7" s="7"/>
      <c r="K7" s="7"/>
      <c r="L7" s="7"/>
      <c r="M7" s="7"/>
      <c r="N7" s="4"/>
    </row>
    <row r="8" spans="1:14" x14ac:dyDescent="0.25">
      <c r="A8">
        <f>ROUND(A7*H34,2)</f>
        <v>545.41</v>
      </c>
      <c r="B8" t="s">
        <v>18</v>
      </c>
      <c r="G8" s="4"/>
      <c r="H8" s="7">
        <f>LOOKUP($A$5,IntellectBase!A2:A61,IntellectBase!C2:C61)</f>
        <v>1747</v>
      </c>
      <c r="I8" s="7" t="s">
        <v>21</v>
      </c>
      <c r="J8" s="7"/>
      <c r="K8" s="7"/>
      <c r="L8" s="7"/>
      <c r="M8" s="7"/>
      <c r="N8" s="4"/>
    </row>
    <row r="9" spans="1:14" x14ac:dyDescent="0.25">
      <c r="A9" s="8" t="str">
        <f>ROUND(H21/A8,2)*100&amp;"ms"</f>
        <v>872ms</v>
      </c>
      <c r="B9" t="s">
        <v>19</v>
      </c>
      <c r="G9" s="4"/>
      <c r="H9" s="7">
        <v>1</v>
      </c>
      <c r="I9" s="7" t="s">
        <v>22</v>
      </c>
      <c r="J9" s="7"/>
      <c r="K9" s="7"/>
      <c r="L9" s="7"/>
      <c r="M9" s="7"/>
      <c r="N9" s="4"/>
    </row>
    <row r="10" spans="1:14" x14ac:dyDescent="0.25">
      <c r="A10" s="8" t="str">
        <f>ROUND(H21/A8,2)*1&amp;"s"</f>
        <v>8.72s</v>
      </c>
      <c r="B10" t="s">
        <v>47</v>
      </c>
      <c r="G10" s="4"/>
      <c r="H10" s="7">
        <f>((H8+(H7*(A5*0.25)))*H9)</f>
        <v>3622</v>
      </c>
      <c r="I10" s="7" t="s">
        <v>23</v>
      </c>
      <c r="J10" s="7"/>
      <c r="K10" s="7"/>
      <c r="L10" s="7"/>
      <c r="M10" s="7"/>
      <c r="N10" s="4"/>
    </row>
    <row r="11" spans="1:14" x14ac:dyDescent="0.25">
      <c r="A11" s="8" t="str">
        <f>ROUND((H21/A8)/60,2)*1&amp;"m"</f>
        <v>0.15m</v>
      </c>
      <c r="B11" t="s">
        <v>46</v>
      </c>
      <c r="G11" s="4"/>
      <c r="H11" s="7">
        <f>((H8+(H7*(A5*0.25)))*H9)</f>
        <v>3622</v>
      </c>
      <c r="I11" s="7" t="s">
        <v>24</v>
      </c>
      <c r="J11" s="7"/>
      <c r="K11" s="7"/>
      <c r="L11" s="7"/>
      <c r="M11" s="7"/>
      <c r="N11" s="4"/>
    </row>
    <row r="12" spans="1:14" x14ac:dyDescent="0.25">
      <c r="A12" s="8" t="str">
        <f>ROUND(((H21/A8)/60)/60,2)&amp;"h"</f>
        <v>0h</v>
      </c>
      <c r="B12" t="s">
        <v>48</v>
      </c>
      <c r="G12" s="4"/>
      <c r="H12" s="7">
        <f>H13*(1+H14)+(H10/100)</f>
        <v>42.22</v>
      </c>
      <c r="I12" s="7" t="s">
        <v>25</v>
      </c>
      <c r="J12" s="7"/>
      <c r="K12" s="7"/>
      <c r="L12" s="7"/>
      <c r="M12" s="7"/>
      <c r="N12" s="4"/>
    </row>
    <row r="13" spans="1:14" x14ac:dyDescent="0.25">
      <c r="G13" s="4"/>
      <c r="H13" s="7">
        <v>3</v>
      </c>
      <c r="I13" s="7" t="s">
        <v>26</v>
      </c>
      <c r="J13" s="7"/>
      <c r="K13" s="7"/>
      <c r="L13" s="7"/>
      <c r="M13" s="7"/>
      <c r="N13" s="4"/>
    </row>
    <row r="14" spans="1:14" x14ac:dyDescent="0.25">
      <c r="G14" s="4"/>
      <c r="H14" s="7">
        <v>1</v>
      </c>
      <c r="I14" s="7" t="s">
        <v>27</v>
      </c>
      <c r="J14" s="7"/>
      <c r="K14" s="7"/>
      <c r="L14" s="7"/>
      <c r="M14" s="7"/>
      <c r="N14" s="4"/>
    </row>
    <row r="15" spans="1:14" x14ac:dyDescent="0.25">
      <c r="G15" s="4"/>
      <c r="H15" s="7">
        <f>H12*5</f>
        <v>211.1</v>
      </c>
      <c r="I15" s="7" t="s">
        <v>28</v>
      </c>
      <c r="J15" s="7"/>
      <c r="K15" s="7"/>
      <c r="L15" s="7"/>
      <c r="M15" s="7"/>
      <c r="N15" s="4"/>
    </row>
    <row r="16" spans="1:14" x14ac:dyDescent="0.25">
      <c r="G16" s="4"/>
      <c r="H16" s="4"/>
      <c r="I16" s="4"/>
      <c r="J16" s="4"/>
      <c r="K16" s="4"/>
      <c r="L16" s="4"/>
      <c r="M16" s="4"/>
      <c r="N16" s="4"/>
    </row>
    <row r="17" spans="1:14" x14ac:dyDescent="0.25">
      <c r="G17" s="4"/>
      <c r="H17" s="7">
        <f>LOOKUP($A$5,VitalityBase!A2:A61,VitalityBase!B2:B61)</f>
        <v>125</v>
      </c>
      <c r="I17" s="7" t="s">
        <v>29</v>
      </c>
      <c r="J17" s="7"/>
      <c r="K17" s="7"/>
      <c r="L17" s="7"/>
      <c r="M17" s="7"/>
      <c r="N17" s="4"/>
    </row>
    <row r="18" spans="1:14" x14ac:dyDescent="0.25">
      <c r="G18" s="4"/>
      <c r="H18" s="7">
        <f>LOOKUP($A$5,VitalityBase!A2:A61,VitalityBase!C2:C61)</f>
        <v>2881</v>
      </c>
      <c r="I18" s="7" t="s">
        <v>7</v>
      </c>
      <c r="J18" s="7"/>
      <c r="K18" s="7"/>
      <c r="L18" s="7"/>
      <c r="M18" s="7"/>
      <c r="N18" s="4"/>
    </row>
    <row r="19" spans="1:14" x14ac:dyDescent="0.25">
      <c r="G19" s="4"/>
      <c r="H19" s="7">
        <v>1</v>
      </c>
      <c r="I19" s="7" t="s">
        <v>30</v>
      </c>
      <c r="J19" s="7"/>
      <c r="K19" s="7"/>
      <c r="L19" s="7"/>
      <c r="M19" s="7"/>
      <c r="N19" s="4"/>
    </row>
    <row r="20" spans="1:14" x14ac:dyDescent="0.25">
      <c r="G20" s="4"/>
      <c r="H20" s="7">
        <f>((H18+(H17*($A$5*0.25)))*H19)</f>
        <v>4756</v>
      </c>
      <c r="I20" s="7" t="s">
        <v>31</v>
      </c>
      <c r="J20" s="7"/>
      <c r="K20" s="7"/>
      <c r="L20" s="7"/>
      <c r="M20" s="7"/>
      <c r="N20" s="4"/>
    </row>
    <row r="21" spans="1:14" x14ac:dyDescent="0.25">
      <c r="G21" s="4"/>
      <c r="H21" s="7">
        <f>((H18+(H17*($A$5*0.25)))*H19)</f>
        <v>4756</v>
      </c>
      <c r="I21" s="7" t="s">
        <v>32</v>
      </c>
      <c r="J21" s="7"/>
      <c r="K21" s="7"/>
      <c r="L21" s="7"/>
      <c r="M21" s="7"/>
      <c r="N21" s="4"/>
    </row>
    <row r="22" spans="1:14" x14ac:dyDescent="0.25">
      <c r="G22" s="4"/>
      <c r="H22" s="7">
        <f>H23*(1+H24)+(H20/100)</f>
        <v>53.56</v>
      </c>
      <c r="I22" s="7" t="s">
        <v>33</v>
      </c>
      <c r="J22" s="7"/>
      <c r="K22" s="7"/>
      <c r="L22" s="7"/>
      <c r="M22" s="7"/>
      <c r="N22" s="4"/>
    </row>
    <row r="23" spans="1:14" x14ac:dyDescent="0.25">
      <c r="G23" s="4"/>
      <c r="H23" s="7">
        <v>3</v>
      </c>
      <c r="I23" s="7" t="s">
        <v>34</v>
      </c>
      <c r="J23" s="7"/>
      <c r="K23" s="7"/>
      <c r="L23" s="7"/>
      <c r="M23" s="7"/>
      <c r="N23" s="4"/>
    </row>
    <row r="24" spans="1:14" x14ac:dyDescent="0.25">
      <c r="G24" s="4"/>
      <c r="H24" s="7">
        <v>1</v>
      </c>
      <c r="I24" s="7" t="s">
        <v>35</v>
      </c>
      <c r="J24" s="7"/>
      <c r="K24" s="7"/>
      <c r="L24" s="7"/>
      <c r="M24" s="7"/>
      <c r="N24" s="4"/>
    </row>
    <row r="25" spans="1:14" x14ac:dyDescent="0.25">
      <c r="G25" s="4"/>
      <c r="H25" s="7">
        <f>H22*5</f>
        <v>267.8</v>
      </c>
      <c r="I25" s="7" t="s">
        <v>36</v>
      </c>
      <c r="J25" s="7"/>
      <c r="K25" s="7"/>
      <c r="L25" s="7"/>
      <c r="M25" s="7"/>
      <c r="N25" s="4"/>
    </row>
    <row r="26" spans="1:14" x14ac:dyDescent="0.25">
      <c r="G26" s="4"/>
      <c r="H26" s="4"/>
      <c r="I26" s="4"/>
      <c r="J26" s="4"/>
      <c r="K26" s="4"/>
      <c r="L26" s="4"/>
      <c r="M26" s="4"/>
      <c r="N26" s="4"/>
    </row>
    <row r="27" spans="1:14" x14ac:dyDescent="0.25">
      <c r="G27" s="4"/>
      <c r="H27" s="7">
        <f>LOOKUP($A$5,AgilityBase!A2:A61,AgilityBase!B2:B61)</f>
        <v>31</v>
      </c>
      <c r="I27" s="7" t="s">
        <v>37</v>
      </c>
      <c r="J27" s="7"/>
      <c r="K27" s="7"/>
      <c r="L27" s="7"/>
      <c r="M27" s="7"/>
      <c r="N27" s="4"/>
    </row>
    <row r="28" spans="1:14" x14ac:dyDescent="0.25">
      <c r="G28" s="4"/>
      <c r="H28" s="7">
        <f>LOOKUP($A$5,AgilityBase!A2:A61,AgilityBase!C2:C61)</f>
        <v>437</v>
      </c>
      <c r="I28" s="7" t="s">
        <v>38</v>
      </c>
      <c r="J28" s="7"/>
      <c r="K28" s="7"/>
      <c r="L28" s="7"/>
      <c r="M28" s="7"/>
      <c r="N28" s="4"/>
    </row>
    <row r="29" spans="1:14" x14ac:dyDescent="0.25">
      <c r="A29" t="s">
        <v>5</v>
      </c>
      <c r="B29" t="s">
        <v>6</v>
      </c>
      <c r="G29" s="4"/>
      <c r="H29" s="7">
        <f>(((H7/5)*H37)/100)+((H27*H36)/10)+1</f>
        <v>1.0335000000000001</v>
      </c>
      <c r="I29" s="7" t="s">
        <v>39</v>
      </c>
      <c r="J29" s="7"/>
      <c r="K29" s="7"/>
      <c r="L29" s="7"/>
      <c r="M29" s="7"/>
      <c r="N29" s="4"/>
    </row>
    <row r="30" spans="1:14" x14ac:dyDescent="0.25">
      <c r="A30" t="e">
        <f>ROUND(B30+(B30*((ROUND(POWER($AB$81,B31)/100,2)))),0)</f>
        <v>#REF!</v>
      </c>
      <c r="B30" t="e">
        <f>LOOKUP(B31,#REF!,#REF!)</f>
        <v>#REF!</v>
      </c>
      <c r="G30" s="4"/>
      <c r="H30" s="7">
        <f>ROUND(H28*H29,0)</f>
        <v>452</v>
      </c>
      <c r="I30" s="7" t="s">
        <v>40</v>
      </c>
      <c r="J30" s="7"/>
      <c r="K30" s="7"/>
      <c r="L30" s="7"/>
      <c r="M30" s="7"/>
      <c r="N30" s="4"/>
    </row>
    <row r="31" spans="1:14" x14ac:dyDescent="0.25">
      <c r="A31">
        <v>1.0649999999999999</v>
      </c>
      <c r="B31">
        <v>30</v>
      </c>
      <c r="G31" s="4"/>
      <c r="H31" s="7">
        <f>LOOKUP(A5,AgilityBase!A2:A61,AgilityBase!D2:D61)</f>
        <v>1</v>
      </c>
      <c r="I31" s="7" t="s">
        <v>9</v>
      </c>
      <c r="J31" s="7"/>
      <c r="K31" s="7"/>
      <c r="L31" s="7"/>
      <c r="M31" s="7"/>
      <c r="N31" s="4"/>
    </row>
    <row r="32" spans="1:14" x14ac:dyDescent="0.25">
      <c r="G32" s="4"/>
      <c r="H32" s="7" t="b">
        <f>IF(H33&gt;=2.5,TRUE,FALSE)</f>
        <v>0</v>
      </c>
      <c r="I32" s="7" t="s">
        <v>41</v>
      </c>
      <c r="J32" s="7"/>
      <c r="K32" s="7"/>
      <c r="L32" s="7"/>
      <c r="M32" s="7"/>
      <c r="N32" s="4"/>
    </row>
    <row r="33" spans="7:14" x14ac:dyDescent="0.25">
      <c r="G33" s="4"/>
      <c r="H33" s="7">
        <f>((H27/15)*0.1)+1</f>
        <v>1.2066666666666668</v>
      </c>
      <c r="I33" s="7" t="s">
        <v>42</v>
      </c>
      <c r="J33" s="7"/>
      <c r="K33" s="7"/>
      <c r="L33" s="7"/>
      <c r="M33" s="7"/>
      <c r="N33" s="4"/>
    </row>
    <row r="34" spans="7:14" x14ac:dyDescent="0.25">
      <c r="G34" s="4"/>
      <c r="H34" s="7">
        <f>IF(H32=TRUE,2.5,H31*H33)</f>
        <v>1.2066666666666668</v>
      </c>
      <c r="I34" s="7" t="s">
        <v>43</v>
      </c>
      <c r="J34" s="7"/>
      <c r="K34" s="7"/>
      <c r="L34" s="7"/>
      <c r="M34" s="7"/>
      <c r="N34" s="4"/>
    </row>
    <row r="35" spans="7:14" x14ac:dyDescent="0.25">
      <c r="G35" s="4"/>
      <c r="H35" s="4"/>
      <c r="I35" s="4"/>
      <c r="J35" s="4"/>
      <c r="K35" s="4"/>
      <c r="L35" s="4"/>
      <c r="M35" s="4"/>
      <c r="N35" s="4"/>
    </row>
    <row r="36" spans="7:14" x14ac:dyDescent="0.25">
      <c r="G36" s="4"/>
      <c r="H36" s="7">
        <v>0.01</v>
      </c>
      <c r="I36" s="7" t="s">
        <v>44</v>
      </c>
      <c r="J36" s="7"/>
      <c r="K36" s="7"/>
      <c r="L36" s="7"/>
      <c r="M36" s="7"/>
      <c r="N36" s="4"/>
    </row>
    <row r="37" spans="7:14" x14ac:dyDescent="0.25">
      <c r="G37" s="4"/>
      <c r="H37" s="7">
        <v>0.01</v>
      </c>
      <c r="I37" s="7" t="s">
        <v>45</v>
      </c>
      <c r="J37" s="7"/>
      <c r="K37" s="7"/>
      <c r="L37" s="7"/>
      <c r="M37" s="7"/>
      <c r="N37" s="4"/>
    </row>
    <row r="38" spans="7:14" x14ac:dyDescent="0.25">
      <c r="G38" s="4"/>
      <c r="H38" s="4"/>
      <c r="I38" s="4"/>
      <c r="J38" s="4"/>
      <c r="K38" s="4"/>
      <c r="L38" s="4"/>
      <c r="M38" s="4"/>
      <c r="N38" s="4"/>
    </row>
  </sheetData>
  <mergeCells count="5">
    <mergeCell ref="A5:B5"/>
    <mergeCell ref="E2:M2"/>
    <mergeCell ref="E3:M3"/>
    <mergeCell ref="E4:M4"/>
    <mergeCell ref="E5:M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24EC-52D3-463E-96E2-4F06D3907AA6}">
  <dimension ref="A1:C61"/>
  <sheetViews>
    <sheetView workbookViewId="0">
      <selection activeCell="B4" sqref="B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>
        <v>1</v>
      </c>
      <c r="B2">
        <v>0</v>
      </c>
      <c r="C2">
        <v>101</v>
      </c>
    </row>
    <row r="3" spans="1:3" x14ac:dyDescent="0.25">
      <c r="A3">
        <v>2</v>
      </c>
      <c r="B3">
        <v>2</v>
      </c>
      <c r="C3">
        <v>111</v>
      </c>
    </row>
    <row r="4" spans="1:3" x14ac:dyDescent="0.25">
      <c r="A4">
        <v>3</v>
      </c>
      <c r="B4">
        <v>4</v>
      </c>
      <c r="C4">
        <v>118</v>
      </c>
    </row>
    <row r="5" spans="1:3" x14ac:dyDescent="0.25">
      <c r="A5">
        <v>4</v>
      </c>
      <c r="B5">
        <v>6</v>
      </c>
      <c r="C5">
        <v>120</v>
      </c>
    </row>
    <row r="6" spans="1:3" x14ac:dyDescent="0.25">
      <c r="A6">
        <v>5</v>
      </c>
      <c r="B6">
        <v>8</v>
      </c>
      <c r="C6">
        <v>122</v>
      </c>
    </row>
    <row r="7" spans="1:3" x14ac:dyDescent="0.25">
      <c r="A7">
        <v>6</v>
      </c>
      <c r="B7">
        <v>10</v>
      </c>
      <c r="C7">
        <v>136</v>
      </c>
    </row>
    <row r="8" spans="1:3" x14ac:dyDescent="0.25">
      <c r="A8">
        <v>7</v>
      </c>
      <c r="B8">
        <v>12</v>
      </c>
      <c r="C8">
        <v>153</v>
      </c>
    </row>
    <row r="9" spans="1:3" x14ac:dyDescent="0.25">
      <c r="A9">
        <v>8</v>
      </c>
      <c r="B9">
        <v>14</v>
      </c>
      <c r="C9">
        <v>168</v>
      </c>
    </row>
    <row r="10" spans="1:3" x14ac:dyDescent="0.25">
      <c r="A10">
        <v>9</v>
      </c>
      <c r="B10">
        <v>16</v>
      </c>
      <c r="C10">
        <v>184</v>
      </c>
    </row>
    <row r="11" spans="1:3" x14ac:dyDescent="0.25">
      <c r="A11">
        <v>10</v>
      </c>
      <c r="B11">
        <v>18</v>
      </c>
      <c r="C11">
        <v>200</v>
      </c>
    </row>
    <row r="12" spans="1:3" x14ac:dyDescent="0.25">
      <c r="A12">
        <v>11</v>
      </c>
      <c r="B12">
        <v>20</v>
      </c>
      <c r="C12">
        <v>219</v>
      </c>
    </row>
    <row r="13" spans="1:3" x14ac:dyDescent="0.25">
      <c r="A13">
        <v>12</v>
      </c>
      <c r="B13">
        <v>22</v>
      </c>
      <c r="C13">
        <v>225</v>
      </c>
    </row>
    <row r="14" spans="1:3" x14ac:dyDescent="0.25">
      <c r="A14">
        <v>13</v>
      </c>
      <c r="B14">
        <v>24</v>
      </c>
      <c r="C14">
        <v>244</v>
      </c>
    </row>
    <row r="15" spans="1:3" x14ac:dyDescent="0.25">
      <c r="A15">
        <v>14</v>
      </c>
      <c r="B15">
        <v>27</v>
      </c>
      <c r="C15">
        <v>268</v>
      </c>
    </row>
    <row r="16" spans="1:3" x14ac:dyDescent="0.25">
      <c r="A16">
        <v>15</v>
      </c>
      <c r="B16">
        <v>29</v>
      </c>
      <c r="C16">
        <v>279</v>
      </c>
    </row>
    <row r="17" spans="1:3" x14ac:dyDescent="0.25">
      <c r="A17">
        <v>16</v>
      </c>
      <c r="B17">
        <v>31</v>
      </c>
      <c r="C17">
        <v>304</v>
      </c>
    </row>
    <row r="18" spans="1:3" x14ac:dyDescent="0.25">
      <c r="A18">
        <v>17</v>
      </c>
      <c r="B18">
        <v>33</v>
      </c>
      <c r="C18">
        <v>314</v>
      </c>
    </row>
    <row r="19" spans="1:3" x14ac:dyDescent="0.25">
      <c r="A19">
        <v>18</v>
      </c>
      <c r="B19">
        <v>35</v>
      </c>
      <c r="C19">
        <v>341</v>
      </c>
    </row>
    <row r="20" spans="1:3" x14ac:dyDescent="0.25">
      <c r="A20">
        <v>19</v>
      </c>
      <c r="B20">
        <v>37</v>
      </c>
      <c r="C20">
        <v>353</v>
      </c>
    </row>
    <row r="21" spans="1:3" x14ac:dyDescent="0.25">
      <c r="A21">
        <v>20</v>
      </c>
      <c r="B21">
        <v>39</v>
      </c>
      <c r="C21">
        <v>386</v>
      </c>
    </row>
    <row r="22" spans="1:3" x14ac:dyDescent="0.25">
      <c r="A22">
        <v>21</v>
      </c>
      <c r="B22">
        <v>41</v>
      </c>
      <c r="C22">
        <v>400</v>
      </c>
    </row>
    <row r="23" spans="1:3" x14ac:dyDescent="0.25">
      <c r="A23">
        <v>22</v>
      </c>
      <c r="B23">
        <v>43</v>
      </c>
      <c r="C23">
        <v>432</v>
      </c>
    </row>
    <row r="24" spans="1:3" x14ac:dyDescent="0.25">
      <c r="A24">
        <v>23</v>
      </c>
      <c r="B24">
        <v>45</v>
      </c>
      <c r="C24">
        <v>448</v>
      </c>
    </row>
    <row r="25" spans="1:3" x14ac:dyDescent="0.25">
      <c r="A25">
        <v>24</v>
      </c>
      <c r="B25">
        <v>47</v>
      </c>
      <c r="C25">
        <v>469</v>
      </c>
    </row>
    <row r="26" spans="1:3" x14ac:dyDescent="0.25">
      <c r="A26">
        <v>25</v>
      </c>
      <c r="B26">
        <v>49</v>
      </c>
      <c r="C26">
        <v>489</v>
      </c>
    </row>
    <row r="27" spans="1:3" x14ac:dyDescent="0.25">
      <c r="A27">
        <v>26</v>
      </c>
      <c r="B27">
        <v>51</v>
      </c>
      <c r="C27">
        <v>541</v>
      </c>
    </row>
    <row r="28" spans="1:3" x14ac:dyDescent="0.25">
      <c r="A28">
        <v>27</v>
      </c>
      <c r="B28">
        <v>53</v>
      </c>
      <c r="C28">
        <v>557</v>
      </c>
    </row>
    <row r="29" spans="1:3" x14ac:dyDescent="0.25">
      <c r="A29">
        <v>28</v>
      </c>
      <c r="B29">
        <v>55</v>
      </c>
      <c r="C29">
        <v>589</v>
      </c>
    </row>
    <row r="30" spans="1:3" x14ac:dyDescent="0.25">
      <c r="A30">
        <v>29</v>
      </c>
      <c r="B30">
        <v>57</v>
      </c>
      <c r="C30">
        <v>628</v>
      </c>
    </row>
    <row r="31" spans="1:3" x14ac:dyDescent="0.25">
      <c r="A31">
        <v>30</v>
      </c>
      <c r="B31">
        <v>60</v>
      </c>
      <c r="C31">
        <v>656</v>
      </c>
    </row>
    <row r="32" spans="1:3" x14ac:dyDescent="0.25">
      <c r="A32">
        <v>31</v>
      </c>
      <c r="B32">
        <v>62</v>
      </c>
      <c r="C32">
        <v>678</v>
      </c>
    </row>
    <row r="33" spans="1:3" x14ac:dyDescent="0.25">
      <c r="A33">
        <v>32</v>
      </c>
      <c r="B33">
        <v>64</v>
      </c>
      <c r="C33">
        <v>697</v>
      </c>
    </row>
    <row r="34" spans="1:3" x14ac:dyDescent="0.25">
      <c r="A34">
        <v>33</v>
      </c>
      <c r="B34">
        <v>66</v>
      </c>
      <c r="C34">
        <v>719</v>
      </c>
    </row>
    <row r="35" spans="1:3" x14ac:dyDescent="0.25">
      <c r="A35">
        <v>34</v>
      </c>
      <c r="B35">
        <v>68</v>
      </c>
      <c r="C35">
        <v>776</v>
      </c>
    </row>
    <row r="36" spans="1:3" x14ac:dyDescent="0.25">
      <c r="A36">
        <v>35</v>
      </c>
      <c r="B36">
        <v>70</v>
      </c>
      <c r="C36">
        <v>799</v>
      </c>
    </row>
    <row r="37" spans="1:3" x14ac:dyDescent="0.25">
      <c r="A37">
        <v>36</v>
      </c>
      <c r="B37">
        <v>72</v>
      </c>
      <c r="C37">
        <v>816</v>
      </c>
    </row>
    <row r="38" spans="1:3" x14ac:dyDescent="0.25">
      <c r="A38">
        <v>37</v>
      </c>
      <c r="B38">
        <v>74</v>
      </c>
      <c r="C38">
        <v>842</v>
      </c>
    </row>
    <row r="39" spans="1:3" x14ac:dyDescent="0.25">
      <c r="A39">
        <v>38</v>
      </c>
      <c r="B39">
        <v>76</v>
      </c>
      <c r="C39">
        <v>900</v>
      </c>
    </row>
    <row r="40" spans="1:3" x14ac:dyDescent="0.25">
      <c r="A40">
        <v>39</v>
      </c>
      <c r="B40">
        <v>78</v>
      </c>
      <c r="C40">
        <v>913</v>
      </c>
    </row>
    <row r="41" spans="1:3" x14ac:dyDescent="0.25">
      <c r="A41">
        <v>40</v>
      </c>
      <c r="B41">
        <v>80</v>
      </c>
      <c r="C41">
        <v>955</v>
      </c>
    </row>
    <row r="42" spans="1:3" x14ac:dyDescent="0.25">
      <c r="A42">
        <v>41</v>
      </c>
      <c r="B42">
        <v>83</v>
      </c>
      <c r="C42">
        <v>977</v>
      </c>
    </row>
    <row r="43" spans="1:3" x14ac:dyDescent="0.25">
      <c r="A43">
        <v>42</v>
      </c>
      <c r="B43">
        <v>85</v>
      </c>
      <c r="C43">
        <v>1015</v>
      </c>
    </row>
    <row r="44" spans="1:3" x14ac:dyDescent="0.25">
      <c r="A44">
        <v>43</v>
      </c>
      <c r="B44">
        <v>87</v>
      </c>
      <c r="C44">
        <v>1053</v>
      </c>
    </row>
    <row r="45" spans="1:3" x14ac:dyDescent="0.25">
      <c r="A45">
        <v>44</v>
      </c>
      <c r="B45">
        <v>89</v>
      </c>
      <c r="C45">
        <v>1085</v>
      </c>
    </row>
    <row r="46" spans="1:3" x14ac:dyDescent="0.25">
      <c r="A46">
        <v>45</v>
      </c>
      <c r="B46">
        <v>92</v>
      </c>
      <c r="C46">
        <v>1120</v>
      </c>
    </row>
    <row r="47" spans="1:3" x14ac:dyDescent="0.25">
      <c r="A47">
        <v>46</v>
      </c>
      <c r="B47">
        <v>94</v>
      </c>
      <c r="C47">
        <v>1159</v>
      </c>
    </row>
    <row r="48" spans="1:3" x14ac:dyDescent="0.25">
      <c r="A48">
        <v>47</v>
      </c>
      <c r="B48">
        <v>96</v>
      </c>
      <c r="C48">
        <v>1196</v>
      </c>
    </row>
    <row r="49" spans="1:3" x14ac:dyDescent="0.25">
      <c r="A49">
        <v>48</v>
      </c>
      <c r="B49">
        <v>98</v>
      </c>
      <c r="C49">
        <v>1235</v>
      </c>
    </row>
    <row r="50" spans="1:3" x14ac:dyDescent="0.25">
      <c r="A50">
        <v>49</v>
      </c>
      <c r="B50">
        <v>101</v>
      </c>
      <c r="C50">
        <v>1257</v>
      </c>
    </row>
    <row r="51" spans="1:3" x14ac:dyDescent="0.25">
      <c r="A51">
        <v>50</v>
      </c>
      <c r="B51">
        <v>103</v>
      </c>
      <c r="C51">
        <v>1292</v>
      </c>
    </row>
    <row r="52" spans="1:3" x14ac:dyDescent="0.25">
      <c r="A52">
        <v>51</v>
      </c>
      <c r="B52">
        <v>105</v>
      </c>
      <c r="C52">
        <v>1338</v>
      </c>
    </row>
    <row r="53" spans="1:3" x14ac:dyDescent="0.25">
      <c r="A53">
        <v>52</v>
      </c>
      <c r="B53">
        <v>107</v>
      </c>
      <c r="C53">
        <v>1373</v>
      </c>
    </row>
    <row r="54" spans="1:3" x14ac:dyDescent="0.25">
      <c r="A54">
        <v>53</v>
      </c>
      <c r="B54">
        <v>109</v>
      </c>
      <c r="C54">
        <v>1426</v>
      </c>
    </row>
    <row r="55" spans="1:3" x14ac:dyDescent="0.25">
      <c r="A55">
        <v>54</v>
      </c>
      <c r="B55">
        <v>111</v>
      </c>
      <c r="C55">
        <v>1452</v>
      </c>
    </row>
    <row r="56" spans="1:3" x14ac:dyDescent="0.25">
      <c r="A56">
        <v>55</v>
      </c>
      <c r="B56">
        <v>114</v>
      </c>
      <c r="C56">
        <v>1502</v>
      </c>
    </row>
    <row r="57" spans="1:3" x14ac:dyDescent="0.25">
      <c r="A57">
        <v>56</v>
      </c>
      <c r="B57">
        <v>117</v>
      </c>
      <c r="C57">
        <v>1550</v>
      </c>
    </row>
    <row r="58" spans="1:3" x14ac:dyDescent="0.25">
      <c r="A58">
        <v>57</v>
      </c>
      <c r="B58">
        <v>119</v>
      </c>
      <c r="C58">
        <v>1597</v>
      </c>
    </row>
    <row r="59" spans="1:3" x14ac:dyDescent="0.25">
      <c r="A59">
        <v>58</v>
      </c>
      <c r="B59">
        <v>121</v>
      </c>
      <c r="C59">
        <v>1655</v>
      </c>
    </row>
    <row r="60" spans="1:3" x14ac:dyDescent="0.25">
      <c r="A60">
        <v>59</v>
      </c>
      <c r="B60">
        <v>123</v>
      </c>
      <c r="C60">
        <v>1705</v>
      </c>
    </row>
    <row r="61" spans="1:3" x14ac:dyDescent="0.25">
      <c r="A61">
        <v>60</v>
      </c>
      <c r="B61">
        <v>125</v>
      </c>
      <c r="C61">
        <v>1747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82A0C-04A3-49DB-B0E0-9865C7094F9F}">
  <dimension ref="A1:C61"/>
  <sheetViews>
    <sheetView topLeftCell="A28" workbookViewId="0">
      <selection activeCell="A2" sqref="A2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7</v>
      </c>
    </row>
    <row r="2" spans="1:3" x14ac:dyDescent="0.25">
      <c r="A2">
        <v>1</v>
      </c>
      <c r="B2">
        <v>0</v>
      </c>
      <c r="C2">
        <v>167</v>
      </c>
    </row>
    <row r="3" spans="1:3" x14ac:dyDescent="0.25">
      <c r="A3">
        <v>2</v>
      </c>
      <c r="B3">
        <v>2</v>
      </c>
      <c r="C3">
        <v>184</v>
      </c>
    </row>
    <row r="4" spans="1:3" x14ac:dyDescent="0.25">
      <c r="A4">
        <v>3</v>
      </c>
      <c r="B4">
        <v>4</v>
      </c>
      <c r="C4">
        <v>195</v>
      </c>
    </row>
    <row r="5" spans="1:3" x14ac:dyDescent="0.25">
      <c r="A5">
        <v>4</v>
      </c>
      <c r="B5">
        <v>6</v>
      </c>
      <c r="C5">
        <v>198</v>
      </c>
    </row>
    <row r="6" spans="1:3" x14ac:dyDescent="0.25">
      <c r="A6">
        <v>5</v>
      </c>
      <c r="B6">
        <v>8</v>
      </c>
      <c r="C6">
        <v>202</v>
      </c>
    </row>
    <row r="7" spans="1:3" x14ac:dyDescent="0.25">
      <c r="A7">
        <v>6</v>
      </c>
      <c r="B7">
        <v>10</v>
      </c>
      <c r="C7">
        <v>225</v>
      </c>
    </row>
    <row r="8" spans="1:3" x14ac:dyDescent="0.25">
      <c r="A8">
        <v>7</v>
      </c>
      <c r="B8">
        <v>12</v>
      </c>
      <c r="C8">
        <v>253</v>
      </c>
    </row>
    <row r="9" spans="1:3" x14ac:dyDescent="0.25">
      <c r="A9">
        <v>8</v>
      </c>
      <c r="B9">
        <v>14</v>
      </c>
      <c r="C9">
        <v>277</v>
      </c>
    </row>
    <row r="10" spans="1:3" x14ac:dyDescent="0.25">
      <c r="A10">
        <v>9</v>
      </c>
      <c r="B10">
        <v>16</v>
      </c>
      <c r="C10">
        <v>303</v>
      </c>
    </row>
    <row r="11" spans="1:3" x14ac:dyDescent="0.25">
      <c r="A11">
        <v>10</v>
      </c>
      <c r="B11">
        <v>18</v>
      </c>
      <c r="C11">
        <v>329</v>
      </c>
    </row>
    <row r="12" spans="1:3" x14ac:dyDescent="0.25">
      <c r="A12">
        <v>11</v>
      </c>
      <c r="B12">
        <v>20</v>
      </c>
      <c r="C12">
        <v>362</v>
      </c>
    </row>
    <row r="13" spans="1:3" x14ac:dyDescent="0.25">
      <c r="A13">
        <v>12</v>
      </c>
      <c r="B13">
        <v>22</v>
      </c>
      <c r="C13">
        <v>372</v>
      </c>
    </row>
    <row r="14" spans="1:3" x14ac:dyDescent="0.25">
      <c r="A14">
        <v>13</v>
      </c>
      <c r="B14">
        <v>24</v>
      </c>
      <c r="C14">
        <v>402</v>
      </c>
    </row>
    <row r="15" spans="1:3" x14ac:dyDescent="0.25">
      <c r="A15">
        <v>14</v>
      </c>
      <c r="B15">
        <v>27</v>
      </c>
      <c r="C15">
        <v>443</v>
      </c>
    </row>
    <row r="16" spans="1:3" x14ac:dyDescent="0.25">
      <c r="A16">
        <v>15</v>
      </c>
      <c r="B16">
        <v>29</v>
      </c>
      <c r="C16">
        <v>460</v>
      </c>
    </row>
    <row r="17" spans="1:3" x14ac:dyDescent="0.25">
      <c r="A17">
        <v>16</v>
      </c>
      <c r="B17">
        <v>31</v>
      </c>
      <c r="C17">
        <v>502</v>
      </c>
    </row>
    <row r="18" spans="1:3" x14ac:dyDescent="0.25">
      <c r="A18">
        <v>17</v>
      </c>
      <c r="B18">
        <v>33</v>
      </c>
      <c r="C18">
        <v>518</v>
      </c>
    </row>
    <row r="19" spans="1:3" x14ac:dyDescent="0.25">
      <c r="A19">
        <v>18</v>
      </c>
      <c r="B19">
        <v>35</v>
      </c>
      <c r="C19">
        <v>562</v>
      </c>
    </row>
    <row r="20" spans="1:3" x14ac:dyDescent="0.25">
      <c r="A20">
        <v>19</v>
      </c>
      <c r="B20">
        <v>37</v>
      </c>
      <c r="C20">
        <v>583</v>
      </c>
    </row>
    <row r="21" spans="1:3" x14ac:dyDescent="0.25">
      <c r="A21">
        <v>20</v>
      </c>
      <c r="B21">
        <v>39</v>
      </c>
      <c r="C21">
        <v>636</v>
      </c>
    </row>
    <row r="22" spans="1:3" x14ac:dyDescent="0.25">
      <c r="A22">
        <v>21</v>
      </c>
      <c r="B22">
        <v>41</v>
      </c>
      <c r="C22">
        <v>660</v>
      </c>
    </row>
    <row r="23" spans="1:3" x14ac:dyDescent="0.25">
      <c r="A23">
        <v>22</v>
      </c>
      <c r="B23">
        <v>43</v>
      </c>
      <c r="C23">
        <v>712</v>
      </c>
    </row>
    <row r="24" spans="1:3" x14ac:dyDescent="0.25">
      <c r="A24">
        <v>23</v>
      </c>
      <c r="B24">
        <v>45</v>
      </c>
      <c r="C24">
        <v>739</v>
      </c>
    </row>
    <row r="25" spans="1:3" x14ac:dyDescent="0.25">
      <c r="A25">
        <v>24</v>
      </c>
      <c r="B25">
        <v>47</v>
      </c>
      <c r="C25">
        <v>775</v>
      </c>
    </row>
    <row r="26" spans="1:3" x14ac:dyDescent="0.25">
      <c r="A26">
        <v>25</v>
      </c>
      <c r="B26">
        <v>49</v>
      </c>
      <c r="C26">
        <v>807</v>
      </c>
    </row>
    <row r="27" spans="1:3" x14ac:dyDescent="0.25">
      <c r="A27">
        <v>26</v>
      </c>
      <c r="B27">
        <v>51</v>
      </c>
      <c r="C27">
        <v>893</v>
      </c>
    </row>
    <row r="28" spans="1:3" x14ac:dyDescent="0.25">
      <c r="A28">
        <v>27</v>
      </c>
      <c r="B28">
        <v>53</v>
      </c>
      <c r="C28">
        <v>919</v>
      </c>
    </row>
    <row r="29" spans="1:3" x14ac:dyDescent="0.25">
      <c r="A29">
        <v>28</v>
      </c>
      <c r="B29">
        <v>55</v>
      </c>
      <c r="C29">
        <v>972</v>
      </c>
    </row>
    <row r="30" spans="1:3" x14ac:dyDescent="0.25">
      <c r="A30">
        <v>29</v>
      </c>
      <c r="B30">
        <v>57</v>
      </c>
      <c r="C30">
        <v>1036</v>
      </c>
    </row>
    <row r="31" spans="1:3" x14ac:dyDescent="0.25">
      <c r="A31">
        <v>30</v>
      </c>
      <c r="B31">
        <v>60</v>
      </c>
      <c r="C31">
        <v>1082</v>
      </c>
    </row>
    <row r="32" spans="1:3" x14ac:dyDescent="0.25">
      <c r="A32">
        <v>31</v>
      </c>
      <c r="B32">
        <v>62</v>
      </c>
      <c r="C32">
        <v>1119</v>
      </c>
    </row>
    <row r="33" spans="1:3" x14ac:dyDescent="0.25">
      <c r="A33">
        <v>32</v>
      </c>
      <c r="B33">
        <v>64</v>
      </c>
      <c r="C33">
        <v>1149</v>
      </c>
    </row>
    <row r="34" spans="1:3" x14ac:dyDescent="0.25">
      <c r="A34">
        <v>33</v>
      </c>
      <c r="B34">
        <v>66</v>
      </c>
      <c r="C34">
        <v>1187</v>
      </c>
    </row>
    <row r="35" spans="1:3" x14ac:dyDescent="0.25">
      <c r="A35">
        <v>34</v>
      </c>
      <c r="B35">
        <v>68</v>
      </c>
      <c r="C35">
        <v>1281</v>
      </c>
    </row>
    <row r="36" spans="1:3" x14ac:dyDescent="0.25">
      <c r="A36">
        <v>35</v>
      </c>
      <c r="B36">
        <v>70</v>
      </c>
      <c r="C36">
        <v>1318</v>
      </c>
    </row>
    <row r="37" spans="1:3" x14ac:dyDescent="0.25">
      <c r="A37">
        <v>36</v>
      </c>
      <c r="B37">
        <v>72</v>
      </c>
      <c r="C37">
        <v>1346</v>
      </c>
    </row>
    <row r="38" spans="1:3" x14ac:dyDescent="0.25">
      <c r="A38">
        <v>37</v>
      </c>
      <c r="B38">
        <v>74</v>
      </c>
      <c r="C38">
        <v>1388</v>
      </c>
    </row>
    <row r="39" spans="1:3" x14ac:dyDescent="0.25">
      <c r="A39">
        <v>38</v>
      </c>
      <c r="B39">
        <v>76</v>
      </c>
      <c r="C39">
        <v>1485</v>
      </c>
    </row>
    <row r="40" spans="1:3" x14ac:dyDescent="0.25">
      <c r="A40">
        <v>39</v>
      </c>
      <c r="B40">
        <v>78</v>
      </c>
      <c r="C40">
        <v>1506</v>
      </c>
    </row>
    <row r="41" spans="1:3" x14ac:dyDescent="0.25">
      <c r="A41">
        <v>40</v>
      </c>
      <c r="B41">
        <v>80</v>
      </c>
      <c r="C41">
        <v>1576</v>
      </c>
    </row>
    <row r="42" spans="1:3" x14ac:dyDescent="0.25">
      <c r="A42">
        <v>41</v>
      </c>
      <c r="B42">
        <v>83</v>
      </c>
      <c r="C42">
        <v>1613</v>
      </c>
    </row>
    <row r="43" spans="1:3" x14ac:dyDescent="0.25">
      <c r="A43">
        <v>42</v>
      </c>
      <c r="B43">
        <v>85</v>
      </c>
      <c r="C43">
        <v>1675</v>
      </c>
    </row>
    <row r="44" spans="1:3" x14ac:dyDescent="0.25">
      <c r="A44">
        <v>43</v>
      </c>
      <c r="B44">
        <v>87</v>
      </c>
      <c r="C44">
        <v>1738</v>
      </c>
    </row>
    <row r="45" spans="1:3" x14ac:dyDescent="0.25">
      <c r="A45">
        <v>44</v>
      </c>
      <c r="B45">
        <v>89</v>
      </c>
      <c r="C45">
        <v>1790</v>
      </c>
    </row>
    <row r="46" spans="1:3" x14ac:dyDescent="0.25">
      <c r="A46">
        <v>45</v>
      </c>
      <c r="B46">
        <v>92</v>
      </c>
      <c r="C46">
        <v>1847</v>
      </c>
    </row>
    <row r="47" spans="1:3" x14ac:dyDescent="0.25">
      <c r="A47">
        <v>46</v>
      </c>
      <c r="B47">
        <v>94</v>
      </c>
      <c r="C47">
        <v>1912</v>
      </c>
    </row>
    <row r="48" spans="1:3" x14ac:dyDescent="0.25">
      <c r="A48">
        <v>47</v>
      </c>
      <c r="B48">
        <v>96</v>
      </c>
      <c r="C48">
        <v>1973</v>
      </c>
    </row>
    <row r="49" spans="1:3" x14ac:dyDescent="0.25">
      <c r="A49">
        <v>48</v>
      </c>
      <c r="B49">
        <v>98</v>
      </c>
      <c r="C49">
        <v>2039</v>
      </c>
    </row>
    <row r="50" spans="1:3" x14ac:dyDescent="0.25">
      <c r="A50">
        <v>49</v>
      </c>
      <c r="B50">
        <v>101</v>
      </c>
      <c r="C50">
        <v>2074</v>
      </c>
    </row>
    <row r="51" spans="1:3" x14ac:dyDescent="0.25">
      <c r="A51">
        <v>50</v>
      </c>
      <c r="B51">
        <v>103</v>
      </c>
      <c r="C51">
        <v>2132</v>
      </c>
    </row>
    <row r="52" spans="1:3" x14ac:dyDescent="0.25">
      <c r="A52">
        <v>51</v>
      </c>
      <c r="B52">
        <v>105</v>
      </c>
      <c r="C52">
        <v>2208</v>
      </c>
    </row>
    <row r="53" spans="1:3" x14ac:dyDescent="0.25">
      <c r="A53">
        <v>52</v>
      </c>
      <c r="B53">
        <v>107</v>
      </c>
      <c r="C53">
        <v>2267</v>
      </c>
    </row>
    <row r="54" spans="1:3" x14ac:dyDescent="0.25">
      <c r="A54">
        <v>53</v>
      </c>
      <c r="B54">
        <v>109</v>
      </c>
      <c r="C54">
        <v>2353</v>
      </c>
    </row>
    <row r="55" spans="1:3" x14ac:dyDescent="0.25">
      <c r="A55">
        <v>54</v>
      </c>
      <c r="B55">
        <v>111</v>
      </c>
      <c r="C55">
        <v>2396</v>
      </c>
    </row>
    <row r="56" spans="1:3" x14ac:dyDescent="0.25">
      <c r="A56">
        <v>55</v>
      </c>
      <c r="B56">
        <v>114</v>
      </c>
      <c r="C56">
        <v>2479</v>
      </c>
    </row>
    <row r="57" spans="1:3" x14ac:dyDescent="0.25">
      <c r="A57">
        <v>56</v>
      </c>
      <c r="B57">
        <v>117</v>
      </c>
      <c r="C57">
        <v>2558</v>
      </c>
    </row>
    <row r="58" spans="1:3" x14ac:dyDescent="0.25">
      <c r="A58">
        <v>57</v>
      </c>
      <c r="B58">
        <v>119</v>
      </c>
      <c r="C58">
        <v>2634</v>
      </c>
    </row>
    <row r="59" spans="1:3" x14ac:dyDescent="0.25">
      <c r="A59">
        <v>58</v>
      </c>
      <c r="B59">
        <v>121</v>
      </c>
      <c r="C59">
        <v>2731</v>
      </c>
    </row>
    <row r="60" spans="1:3" x14ac:dyDescent="0.25">
      <c r="A60">
        <v>59</v>
      </c>
      <c r="B60">
        <v>123</v>
      </c>
      <c r="C60">
        <v>2813</v>
      </c>
    </row>
    <row r="61" spans="1:3" x14ac:dyDescent="0.25">
      <c r="A61">
        <v>60</v>
      </c>
      <c r="B61">
        <v>125</v>
      </c>
      <c r="C61">
        <v>2881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B3FD-25E3-4069-9AE4-FEBBC1A5383C}">
  <dimension ref="A1:D61"/>
  <sheetViews>
    <sheetView workbookViewId="0">
      <selection activeCell="C2" sqref="C2"/>
    </sheetView>
  </sheetViews>
  <sheetFormatPr defaultRowHeight="15" x14ac:dyDescent="0.25"/>
  <cols>
    <col min="3" max="3" width="18.42578125" bestFit="1" customWidth="1"/>
  </cols>
  <sheetData>
    <row r="1" spans="1:4" x14ac:dyDescent="0.25">
      <c r="A1" t="s">
        <v>0</v>
      </c>
      <c r="B1" t="s">
        <v>2</v>
      </c>
      <c r="C1" t="s">
        <v>8</v>
      </c>
      <c r="D1" t="s">
        <v>9</v>
      </c>
    </row>
    <row r="2" spans="1:4" x14ac:dyDescent="0.25">
      <c r="A2">
        <v>1</v>
      </c>
      <c r="B2">
        <v>0</v>
      </c>
      <c r="C2">
        <v>25</v>
      </c>
      <c r="D2">
        <v>1</v>
      </c>
    </row>
    <row r="3" spans="1:4" x14ac:dyDescent="0.25">
      <c r="A3">
        <v>2</v>
      </c>
      <c r="B3">
        <v>1</v>
      </c>
      <c r="C3">
        <v>28</v>
      </c>
      <c r="D3">
        <v>1</v>
      </c>
    </row>
    <row r="4" spans="1:4" x14ac:dyDescent="0.25">
      <c r="A4">
        <v>3</v>
      </c>
      <c r="B4">
        <v>1</v>
      </c>
      <c r="C4">
        <v>30</v>
      </c>
      <c r="D4">
        <v>1</v>
      </c>
    </row>
    <row r="5" spans="1:4" x14ac:dyDescent="0.25">
      <c r="A5">
        <v>4</v>
      </c>
      <c r="B5">
        <v>2</v>
      </c>
      <c r="C5">
        <v>30</v>
      </c>
      <c r="D5">
        <v>1</v>
      </c>
    </row>
    <row r="6" spans="1:4" x14ac:dyDescent="0.25">
      <c r="A6">
        <v>5</v>
      </c>
      <c r="B6">
        <v>2</v>
      </c>
      <c r="C6">
        <v>31</v>
      </c>
      <c r="D6">
        <v>1</v>
      </c>
    </row>
    <row r="7" spans="1:4" x14ac:dyDescent="0.25">
      <c r="A7">
        <v>6</v>
      </c>
      <c r="B7">
        <v>3</v>
      </c>
      <c r="C7">
        <v>34</v>
      </c>
      <c r="D7">
        <v>1</v>
      </c>
    </row>
    <row r="8" spans="1:4" x14ac:dyDescent="0.25">
      <c r="A8">
        <v>7</v>
      </c>
      <c r="B8">
        <v>3</v>
      </c>
      <c r="C8">
        <v>38</v>
      </c>
      <c r="D8">
        <v>1</v>
      </c>
    </row>
    <row r="9" spans="1:4" x14ac:dyDescent="0.25">
      <c r="A9">
        <v>8</v>
      </c>
      <c r="B9">
        <v>4</v>
      </c>
      <c r="C9">
        <v>42</v>
      </c>
      <c r="D9">
        <v>1</v>
      </c>
    </row>
    <row r="10" spans="1:4" x14ac:dyDescent="0.25">
      <c r="A10">
        <v>9</v>
      </c>
      <c r="B10">
        <v>4</v>
      </c>
      <c r="C10">
        <v>46</v>
      </c>
      <c r="D10">
        <v>1</v>
      </c>
    </row>
    <row r="11" spans="1:4" x14ac:dyDescent="0.25">
      <c r="A11">
        <v>10</v>
      </c>
      <c r="B11">
        <v>5</v>
      </c>
      <c r="C11">
        <v>50</v>
      </c>
      <c r="D11">
        <v>1</v>
      </c>
    </row>
    <row r="12" spans="1:4" x14ac:dyDescent="0.25">
      <c r="A12">
        <v>11</v>
      </c>
      <c r="B12">
        <v>5</v>
      </c>
      <c r="C12">
        <v>55</v>
      </c>
      <c r="D12">
        <v>1</v>
      </c>
    </row>
    <row r="13" spans="1:4" x14ac:dyDescent="0.25">
      <c r="A13">
        <v>12</v>
      </c>
      <c r="B13">
        <v>6</v>
      </c>
      <c r="C13">
        <v>56</v>
      </c>
      <c r="D13">
        <v>1</v>
      </c>
    </row>
    <row r="14" spans="1:4" x14ac:dyDescent="0.25">
      <c r="A14">
        <v>13</v>
      </c>
      <c r="B14">
        <v>6</v>
      </c>
      <c r="C14">
        <v>61</v>
      </c>
      <c r="D14">
        <v>1</v>
      </c>
    </row>
    <row r="15" spans="1:4" x14ac:dyDescent="0.25">
      <c r="A15">
        <v>14</v>
      </c>
      <c r="B15">
        <v>7</v>
      </c>
      <c r="C15">
        <v>67</v>
      </c>
      <c r="D15">
        <v>1</v>
      </c>
    </row>
    <row r="16" spans="1:4" x14ac:dyDescent="0.25">
      <c r="A16">
        <v>15</v>
      </c>
      <c r="B16">
        <v>7</v>
      </c>
      <c r="C16">
        <v>70</v>
      </c>
      <c r="D16">
        <v>1</v>
      </c>
    </row>
    <row r="17" spans="1:4" x14ac:dyDescent="0.25">
      <c r="A17">
        <v>16</v>
      </c>
      <c r="B17">
        <v>8</v>
      </c>
      <c r="C17">
        <v>76</v>
      </c>
      <c r="D17">
        <v>1</v>
      </c>
    </row>
    <row r="18" spans="1:4" x14ac:dyDescent="0.25">
      <c r="A18">
        <v>17</v>
      </c>
      <c r="B18">
        <v>8</v>
      </c>
      <c r="C18">
        <v>79</v>
      </c>
      <c r="D18">
        <v>1</v>
      </c>
    </row>
    <row r="19" spans="1:4" x14ac:dyDescent="0.25">
      <c r="A19">
        <v>18</v>
      </c>
      <c r="B19">
        <v>9</v>
      </c>
      <c r="C19">
        <v>85</v>
      </c>
      <c r="D19">
        <v>1</v>
      </c>
    </row>
    <row r="20" spans="1:4" x14ac:dyDescent="0.25">
      <c r="A20">
        <v>19</v>
      </c>
      <c r="B20">
        <v>9</v>
      </c>
      <c r="C20">
        <v>88</v>
      </c>
      <c r="D20">
        <v>1</v>
      </c>
    </row>
    <row r="21" spans="1:4" x14ac:dyDescent="0.25">
      <c r="A21">
        <v>20</v>
      </c>
      <c r="B21">
        <v>10</v>
      </c>
      <c r="C21">
        <v>97</v>
      </c>
      <c r="D21">
        <v>1</v>
      </c>
    </row>
    <row r="22" spans="1:4" x14ac:dyDescent="0.25">
      <c r="A22">
        <v>21</v>
      </c>
      <c r="B22">
        <v>10</v>
      </c>
      <c r="C22">
        <v>100</v>
      </c>
      <c r="D22">
        <v>1</v>
      </c>
    </row>
    <row r="23" spans="1:4" x14ac:dyDescent="0.25">
      <c r="A23">
        <v>22</v>
      </c>
      <c r="B23">
        <v>11</v>
      </c>
      <c r="C23">
        <v>108</v>
      </c>
      <c r="D23">
        <v>1</v>
      </c>
    </row>
    <row r="24" spans="1:4" x14ac:dyDescent="0.25">
      <c r="A24">
        <v>23</v>
      </c>
      <c r="B24">
        <v>11</v>
      </c>
      <c r="C24">
        <v>112</v>
      </c>
      <c r="D24">
        <v>1</v>
      </c>
    </row>
    <row r="25" spans="1:4" x14ac:dyDescent="0.25">
      <c r="A25">
        <v>24</v>
      </c>
      <c r="B25">
        <v>12</v>
      </c>
      <c r="C25">
        <v>117</v>
      </c>
      <c r="D25">
        <v>1</v>
      </c>
    </row>
    <row r="26" spans="1:4" x14ac:dyDescent="0.25">
      <c r="A26">
        <v>25</v>
      </c>
      <c r="B26">
        <v>12</v>
      </c>
      <c r="C26">
        <v>122</v>
      </c>
      <c r="D26">
        <v>1</v>
      </c>
    </row>
    <row r="27" spans="1:4" x14ac:dyDescent="0.25">
      <c r="A27">
        <v>26</v>
      </c>
      <c r="B27">
        <v>13</v>
      </c>
      <c r="C27">
        <v>135</v>
      </c>
      <c r="D27">
        <v>1</v>
      </c>
    </row>
    <row r="28" spans="1:4" x14ac:dyDescent="0.25">
      <c r="A28">
        <v>27</v>
      </c>
      <c r="B28">
        <v>13</v>
      </c>
      <c r="C28">
        <v>139</v>
      </c>
      <c r="D28">
        <v>1</v>
      </c>
    </row>
    <row r="29" spans="1:4" x14ac:dyDescent="0.25">
      <c r="A29">
        <v>28</v>
      </c>
      <c r="B29">
        <v>14</v>
      </c>
      <c r="C29">
        <v>147</v>
      </c>
      <c r="D29">
        <v>1</v>
      </c>
    </row>
    <row r="30" spans="1:4" x14ac:dyDescent="0.25">
      <c r="A30">
        <v>29</v>
      </c>
      <c r="B30">
        <v>14</v>
      </c>
      <c r="C30">
        <v>157</v>
      </c>
      <c r="D30">
        <v>1</v>
      </c>
    </row>
    <row r="31" spans="1:4" x14ac:dyDescent="0.25">
      <c r="A31">
        <v>30</v>
      </c>
      <c r="B31">
        <v>15</v>
      </c>
      <c r="C31">
        <v>164</v>
      </c>
      <c r="D31">
        <v>1</v>
      </c>
    </row>
    <row r="32" spans="1:4" x14ac:dyDescent="0.25">
      <c r="A32">
        <v>31</v>
      </c>
      <c r="B32">
        <v>16</v>
      </c>
      <c r="C32">
        <v>170</v>
      </c>
      <c r="D32">
        <v>1</v>
      </c>
    </row>
    <row r="33" spans="1:4" x14ac:dyDescent="0.25">
      <c r="A33">
        <v>32</v>
      </c>
      <c r="B33">
        <v>16</v>
      </c>
      <c r="C33">
        <v>174</v>
      </c>
      <c r="D33">
        <v>1</v>
      </c>
    </row>
    <row r="34" spans="1:4" x14ac:dyDescent="0.25">
      <c r="A34">
        <v>33</v>
      </c>
      <c r="B34">
        <v>17</v>
      </c>
      <c r="C34">
        <v>180</v>
      </c>
      <c r="D34">
        <v>1</v>
      </c>
    </row>
    <row r="35" spans="1:4" x14ac:dyDescent="0.25">
      <c r="A35">
        <v>34</v>
      </c>
      <c r="B35">
        <v>17</v>
      </c>
      <c r="C35">
        <v>194</v>
      </c>
      <c r="D35">
        <v>1</v>
      </c>
    </row>
    <row r="36" spans="1:4" x14ac:dyDescent="0.25">
      <c r="A36">
        <v>35</v>
      </c>
      <c r="B36">
        <v>18</v>
      </c>
      <c r="C36">
        <v>200</v>
      </c>
      <c r="D36">
        <v>1</v>
      </c>
    </row>
    <row r="37" spans="1:4" x14ac:dyDescent="0.25">
      <c r="A37">
        <v>36</v>
      </c>
      <c r="B37">
        <v>18</v>
      </c>
      <c r="C37">
        <v>204</v>
      </c>
      <c r="D37">
        <v>1</v>
      </c>
    </row>
    <row r="38" spans="1:4" x14ac:dyDescent="0.25">
      <c r="A38">
        <v>37</v>
      </c>
      <c r="B38">
        <v>19</v>
      </c>
      <c r="C38">
        <v>211</v>
      </c>
      <c r="D38">
        <v>1</v>
      </c>
    </row>
    <row r="39" spans="1:4" x14ac:dyDescent="0.25">
      <c r="A39">
        <v>38</v>
      </c>
      <c r="B39">
        <v>19</v>
      </c>
      <c r="C39">
        <v>225</v>
      </c>
      <c r="D39">
        <v>1</v>
      </c>
    </row>
    <row r="40" spans="1:4" x14ac:dyDescent="0.25">
      <c r="A40">
        <v>39</v>
      </c>
      <c r="B40">
        <v>20</v>
      </c>
      <c r="C40">
        <v>228</v>
      </c>
      <c r="D40">
        <v>1</v>
      </c>
    </row>
    <row r="41" spans="1:4" x14ac:dyDescent="0.25">
      <c r="A41">
        <v>40</v>
      </c>
      <c r="B41">
        <v>20</v>
      </c>
      <c r="C41">
        <v>239</v>
      </c>
      <c r="D41">
        <v>1</v>
      </c>
    </row>
    <row r="42" spans="1:4" x14ac:dyDescent="0.25">
      <c r="A42">
        <v>41</v>
      </c>
      <c r="B42">
        <v>21</v>
      </c>
      <c r="C42">
        <v>244</v>
      </c>
      <c r="D42">
        <v>1</v>
      </c>
    </row>
    <row r="43" spans="1:4" x14ac:dyDescent="0.25">
      <c r="A43">
        <v>42</v>
      </c>
      <c r="B43">
        <v>21</v>
      </c>
      <c r="C43">
        <v>254</v>
      </c>
      <c r="D43">
        <v>1</v>
      </c>
    </row>
    <row r="44" spans="1:4" x14ac:dyDescent="0.25">
      <c r="A44">
        <v>43</v>
      </c>
      <c r="B44">
        <v>22</v>
      </c>
      <c r="C44">
        <v>263</v>
      </c>
      <c r="D44">
        <v>1</v>
      </c>
    </row>
    <row r="45" spans="1:4" x14ac:dyDescent="0.25">
      <c r="A45">
        <v>44</v>
      </c>
      <c r="B45">
        <v>22</v>
      </c>
      <c r="C45">
        <v>271</v>
      </c>
      <c r="D45">
        <v>1</v>
      </c>
    </row>
    <row r="46" spans="1:4" x14ac:dyDescent="0.25">
      <c r="A46">
        <v>45</v>
      </c>
      <c r="B46">
        <v>23</v>
      </c>
      <c r="C46">
        <v>280</v>
      </c>
      <c r="D46">
        <v>1</v>
      </c>
    </row>
    <row r="47" spans="1:4" x14ac:dyDescent="0.25">
      <c r="A47">
        <v>46</v>
      </c>
      <c r="B47">
        <v>24</v>
      </c>
      <c r="C47">
        <v>290</v>
      </c>
      <c r="D47">
        <v>1</v>
      </c>
    </row>
    <row r="48" spans="1:4" x14ac:dyDescent="0.25">
      <c r="A48">
        <v>47</v>
      </c>
      <c r="B48">
        <v>24</v>
      </c>
      <c r="C48">
        <v>299</v>
      </c>
      <c r="D48">
        <v>1</v>
      </c>
    </row>
    <row r="49" spans="1:4" x14ac:dyDescent="0.25">
      <c r="A49">
        <v>48</v>
      </c>
      <c r="B49">
        <v>25</v>
      </c>
      <c r="C49">
        <v>309</v>
      </c>
      <c r="D49">
        <v>1</v>
      </c>
    </row>
    <row r="50" spans="1:4" x14ac:dyDescent="0.25">
      <c r="A50">
        <v>49</v>
      </c>
      <c r="B50">
        <v>25</v>
      </c>
      <c r="C50">
        <v>314</v>
      </c>
      <c r="D50">
        <v>1</v>
      </c>
    </row>
    <row r="51" spans="1:4" x14ac:dyDescent="0.25">
      <c r="A51">
        <v>50</v>
      </c>
      <c r="B51">
        <v>26</v>
      </c>
      <c r="C51">
        <v>323</v>
      </c>
      <c r="D51">
        <v>1</v>
      </c>
    </row>
    <row r="52" spans="1:4" x14ac:dyDescent="0.25">
      <c r="A52">
        <v>51</v>
      </c>
      <c r="B52">
        <v>26</v>
      </c>
      <c r="C52">
        <v>335</v>
      </c>
      <c r="D52">
        <v>1</v>
      </c>
    </row>
    <row r="53" spans="1:4" x14ac:dyDescent="0.25">
      <c r="A53">
        <v>52</v>
      </c>
      <c r="B53">
        <v>27</v>
      </c>
      <c r="C53">
        <v>343</v>
      </c>
      <c r="D53">
        <v>1</v>
      </c>
    </row>
    <row r="54" spans="1:4" x14ac:dyDescent="0.25">
      <c r="A54">
        <v>53</v>
      </c>
      <c r="B54">
        <v>27</v>
      </c>
      <c r="C54">
        <v>357</v>
      </c>
      <c r="D54">
        <v>1</v>
      </c>
    </row>
    <row r="55" spans="1:4" x14ac:dyDescent="0.25">
      <c r="A55">
        <v>54</v>
      </c>
      <c r="B55">
        <v>28</v>
      </c>
      <c r="C55">
        <v>363</v>
      </c>
      <c r="D55">
        <v>1</v>
      </c>
    </row>
    <row r="56" spans="1:4" x14ac:dyDescent="0.25">
      <c r="A56">
        <v>55</v>
      </c>
      <c r="B56">
        <v>29</v>
      </c>
      <c r="C56">
        <v>376</v>
      </c>
      <c r="D56">
        <v>1</v>
      </c>
    </row>
    <row r="57" spans="1:4" x14ac:dyDescent="0.25">
      <c r="A57">
        <v>56</v>
      </c>
      <c r="B57">
        <v>29</v>
      </c>
      <c r="C57">
        <v>388</v>
      </c>
      <c r="D57">
        <v>1</v>
      </c>
    </row>
    <row r="58" spans="1:4" x14ac:dyDescent="0.25">
      <c r="A58">
        <v>57</v>
      </c>
      <c r="B58">
        <v>30</v>
      </c>
      <c r="C58">
        <v>399</v>
      </c>
      <c r="D58">
        <v>1</v>
      </c>
    </row>
    <row r="59" spans="1:4" x14ac:dyDescent="0.25">
      <c r="A59">
        <v>58</v>
      </c>
      <c r="B59">
        <v>30</v>
      </c>
      <c r="C59">
        <v>414</v>
      </c>
      <c r="D59">
        <v>1</v>
      </c>
    </row>
    <row r="60" spans="1:4" x14ac:dyDescent="0.25">
      <c r="A60">
        <v>59</v>
      </c>
      <c r="B60">
        <v>31</v>
      </c>
      <c r="C60">
        <v>426</v>
      </c>
      <c r="D60">
        <v>1</v>
      </c>
    </row>
    <row r="61" spans="1:4" x14ac:dyDescent="0.25">
      <c r="A61">
        <v>60</v>
      </c>
      <c r="B61">
        <v>31</v>
      </c>
      <c r="C61">
        <v>437</v>
      </c>
      <c r="D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DamageSim</vt:lpstr>
      <vt:lpstr>IntellectBase</vt:lpstr>
      <vt:lpstr>VitalityBase</vt:lpstr>
      <vt:lpstr>AgilityBase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panthA</dc:creator>
  <cp:lastModifiedBy>panthA</cp:lastModifiedBy>
  <dcterms:created xsi:type="dcterms:W3CDTF">2021-03-23T05:31:43Z</dcterms:created>
  <dcterms:modified xsi:type="dcterms:W3CDTF">2021-03-23T06:37:50Z</dcterms:modified>
</cp:coreProperties>
</file>