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ames\exedev\Prototype\Prototype\"/>
    </mc:Choice>
  </mc:AlternateContent>
  <xr:revisionPtr revIDLastSave="0" documentId="13_ncr:1_{340C16DE-440E-43D2-AA35-8AC73584301F}" xr6:coauthVersionLast="46" xr6:coauthVersionMax="46" xr10:uidLastSave="{00000000-0000-0000-0000-000000000000}"/>
  <bookViews>
    <workbookView xWindow="-20520" yWindow="-120" windowWidth="20640" windowHeight="11160" xr2:uid="{2FE1A4C0-8E16-495D-B1C7-0D04D6773A80}"/>
  </bookViews>
  <sheets>
    <sheet name="DamageSim" sheetId="1" r:id="rId1"/>
    <sheet name="IntellectBase" sheetId="4" r:id="rId2"/>
    <sheet name="VitalityBase" sheetId="3" r:id="rId3"/>
    <sheet name="AgilityBase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4" i="1" l="1"/>
  <c r="O25" i="1" s="1"/>
  <c r="H27" i="1" s="1"/>
  <c r="H33" i="1" s="1"/>
  <c r="H32" i="1" s="1"/>
  <c r="O20" i="1"/>
  <c r="O21" i="1" s="1"/>
  <c r="H17" i="1" s="1"/>
  <c r="O16" i="1"/>
  <c r="O17" i="1" s="1"/>
  <c r="H7" i="1" s="1"/>
  <c r="O23" i="1"/>
  <c r="O19" i="1"/>
  <c r="O15" i="1"/>
  <c r="H28" i="1"/>
  <c r="H18" i="1"/>
  <c r="H31" i="1"/>
  <c r="H8" i="1"/>
  <c r="B30" i="1"/>
  <c r="A30" i="1" s="1"/>
  <c r="H21" i="1" l="1"/>
  <c r="H11" i="1"/>
  <c r="H34" i="1"/>
  <c r="H29" i="1"/>
  <c r="H30" i="1" s="1"/>
  <c r="A7" i="1" s="1"/>
  <c r="A8" i="1" s="1"/>
  <c r="H10" i="1"/>
  <c r="H12" i="1" s="1"/>
  <c r="H15" i="1" s="1"/>
  <c r="H20" i="1"/>
  <c r="H22" i="1" s="1"/>
  <c r="H25" i="1" s="1"/>
  <c r="A10" i="1" l="1"/>
  <c r="A11" i="1"/>
  <c r="A9" i="1"/>
  <c r="A12" i="1"/>
</calcChain>
</file>

<file path=xl/sharedStrings.xml><?xml version="1.0" encoding="utf-8"?>
<sst xmlns="http://schemas.openxmlformats.org/spreadsheetml/2006/main" count="118" uniqueCount="72">
  <si>
    <t>Level</t>
  </si>
  <si>
    <t>IntBase</t>
  </si>
  <si>
    <t>AgilityBase</t>
  </si>
  <si>
    <t>VitalityBase</t>
  </si>
  <si>
    <t>BaseMana</t>
  </si>
  <si>
    <t>calc const</t>
  </si>
  <si>
    <t>lookup level</t>
  </si>
  <si>
    <t>HealthBase</t>
  </si>
  <si>
    <t>AbilityDamageBase</t>
  </si>
  <si>
    <t>AttackSpeedBase</t>
  </si>
  <si>
    <t>INPUTS</t>
  </si>
  <si>
    <t>Character Level</t>
  </si>
  <si>
    <t>From 1- 60</t>
  </si>
  <si>
    <t>Enter the character level, it will fetch the base values dependant on the character level</t>
  </si>
  <si>
    <t>and will calculate the damage done by the LMB ability</t>
  </si>
  <si>
    <t>&lt;------------</t>
  </si>
  <si>
    <t>^^^^^^^^</t>
  </si>
  <si>
    <t>Ability Damage</t>
  </si>
  <si>
    <t>Ability DPS(assuming only LMB)</t>
  </si>
  <si>
    <t>Current time-to-kill(assuming mob level == character)</t>
  </si>
  <si>
    <t>ManaBase</t>
  </si>
  <si>
    <t>ManaMod</t>
  </si>
  <si>
    <t>ManaMax</t>
  </si>
  <si>
    <t>ManaCurrent</t>
  </si>
  <si>
    <t>ManaRegenBase</t>
  </si>
  <si>
    <t>ManaRegenMod</t>
  </si>
  <si>
    <t>ManaPer5</t>
  </si>
  <si>
    <t>Vitality</t>
  </si>
  <si>
    <t>HealthMod</t>
  </si>
  <si>
    <t>HealthMax</t>
  </si>
  <si>
    <t>HealthCurrent</t>
  </si>
  <si>
    <t>HealthRegen</t>
  </si>
  <si>
    <t>HealthRegenBase</t>
  </si>
  <si>
    <t>HealthRegenMod</t>
  </si>
  <si>
    <t>HealthPer5</t>
  </si>
  <si>
    <t>Agility</t>
  </si>
  <si>
    <t>AbilityDMGBase</t>
  </si>
  <si>
    <t>AbilityDMGMod</t>
  </si>
  <si>
    <t>AbilityDMGCurrent</t>
  </si>
  <si>
    <t>AttackSpeedModIFTEST</t>
  </si>
  <si>
    <t>AttackSpeedMod</t>
  </si>
  <si>
    <t>AttackSpeedCurrent</t>
  </si>
  <si>
    <t>AbilityDMGMod gained per Agility</t>
  </si>
  <si>
    <t>AbilityDMGMod gained per 5 Intellect</t>
  </si>
  <si>
    <t>Current TTK in minutes</t>
  </si>
  <si>
    <t>Current TTK in seconds</t>
  </si>
  <si>
    <t>Current TTK in hours</t>
  </si>
  <si>
    <t xml:space="preserve">This sim uses INT/VIT/AGI from the base value, real calculation should use </t>
  </si>
  <si>
    <t>IntellectCurr/VitalityCurr/AgilityCurr. (e.g.IntellectBase * IntellectMod)</t>
  </si>
  <si>
    <t>Gem Slot 1</t>
  </si>
  <si>
    <t>Gem Slot 2</t>
  </si>
  <si>
    <t>Gem Slot 3</t>
  </si>
  <si>
    <t>Enchant</t>
  </si>
  <si>
    <t>Trinket 1</t>
  </si>
  <si>
    <t>Trinket 2</t>
  </si>
  <si>
    <t>Intellect</t>
  </si>
  <si>
    <t>Gem example: Red gem = Increase Intellect by 15</t>
  </si>
  <si>
    <t>IntellectBase</t>
  </si>
  <si>
    <t>IntellectMod</t>
  </si>
  <si>
    <t>IntellectCurr</t>
  </si>
  <si>
    <t>AgilityMod</t>
  </si>
  <si>
    <t>AgilityCurr</t>
  </si>
  <si>
    <t>VitalityMod</t>
  </si>
  <si>
    <t>VitalityCurr</t>
  </si>
  <si>
    <t>Headings</t>
  </si>
  <si>
    <t>Calculation</t>
  </si>
  <si>
    <t>Legend</t>
  </si>
  <si>
    <t>Current Variables</t>
  </si>
  <si>
    <t>Do I Need?</t>
  </si>
  <si>
    <t>ManaRegenCurr</t>
  </si>
  <si>
    <t>ManaRegenCurrent</t>
  </si>
  <si>
    <t>HealthRegenCurrent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</si>
</sst>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1" fillId="2" borderId="0" applyNumberFormat="0" applyBorder="0" applyAlignment="0" applyProtection="0"/>
    <xf numFmtId="0" fontId="2" fillId="3" borderId="1" applyNumberFormat="0" applyAlignment="0" applyProtection="0"/>
    <xf numFmtId="0" fontId="3" fillId="4" borderId="1" applyNumberFormat="0" applyAlignment="0" applyProtection="0"/>
    <xf numFmtId="0" fontId="4" fillId="0" borderId="0" applyNumberFormat="0" applyFill="0" applyBorder="0" applyAlignment="0" applyProtection="0"/>
    <xf numFmtId="0" fontId="6" fillId="7" borderId="2" applyNumberFormat="0" applyAlignment="0" applyProtection="0"/>
    <xf numFmtId="0" fontId="5" fillId="8" borderId="3" applyNumberFormat="0" applyFont="0" applyAlignment="0" applyProtection="0"/>
    <xf numFmtId="0" fontId="7" fillId="9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2" fillId="3" borderId="1" xfId="2" applyAlignment="1">
      <alignment horizontal="center"/>
    </xf>
    <xf numFmtId="0" fontId="0" fillId="5" borderId="0" xfId="0" applyFill="1"/>
    <xf numFmtId="0" fontId="4" fillId="5" borderId="0" xfId="4" applyFill="1"/>
    <xf numFmtId="0" fontId="3" fillId="4" borderId="1" xfId="3"/>
    <xf numFmtId="0" fontId="2" fillId="3" borderId="1" xfId="2"/>
    <xf numFmtId="0" fontId="6" fillId="7" borderId="2" xfId="5"/>
    <xf numFmtId="0" fontId="6" fillId="7" borderId="2" xfId="5" applyNumberFormat="1"/>
    <xf numFmtId="0" fontId="3" fillId="4" borderId="1" xfId="3" applyAlignment="1">
      <alignment horizontal="right"/>
    </xf>
    <xf numFmtId="0" fontId="0" fillId="0" borderId="0" xfId="0" applyAlignment="1">
      <alignment horizontal="center"/>
    </xf>
    <xf numFmtId="0" fontId="0" fillId="8" borderId="7" xfId="6" applyFont="1" applyBorder="1" applyAlignment="1">
      <alignment horizontal="center"/>
    </xf>
    <xf numFmtId="0" fontId="0" fillId="8" borderId="8" xfId="6" applyFont="1" applyBorder="1" applyAlignment="1">
      <alignment horizontal="center"/>
    </xf>
    <xf numFmtId="0" fontId="0" fillId="8" borderId="9" xfId="6" applyFont="1" applyBorder="1" applyAlignment="1">
      <alignment horizontal="center"/>
    </xf>
    <xf numFmtId="0" fontId="1" fillId="2" borderId="7" xfId="1" applyBorder="1" applyAlignment="1">
      <alignment horizontal="center"/>
    </xf>
    <xf numFmtId="0" fontId="1" fillId="2" borderId="8" xfId="1" applyBorder="1" applyAlignment="1">
      <alignment horizontal="center"/>
    </xf>
    <xf numFmtId="0" fontId="1" fillId="2" borderId="9" xfId="1" applyBorder="1" applyAlignment="1">
      <alignment horizontal="center"/>
    </xf>
    <xf numFmtId="0" fontId="6" fillId="7" borderId="4" xfId="5" applyBorder="1" applyAlignment="1">
      <alignment horizontal="left"/>
    </xf>
    <xf numFmtId="0" fontId="6" fillId="7" borderId="5" xfId="5" applyBorder="1" applyAlignment="1">
      <alignment horizontal="left"/>
    </xf>
    <xf numFmtId="0" fontId="6" fillId="7" borderId="6" xfId="5" applyBorder="1" applyAlignment="1">
      <alignment horizontal="left"/>
    </xf>
    <xf numFmtId="0" fontId="4" fillId="0" borderId="0" xfId="4" applyAlignment="1">
      <alignment horizontal="center"/>
    </xf>
    <xf numFmtId="0" fontId="4" fillId="6" borderId="0" xfId="4" applyFill="1" applyAlignment="1">
      <alignment horizontal="center"/>
    </xf>
    <xf numFmtId="0" fontId="2" fillId="3" borderId="1" xfId="2" applyAlignment="1">
      <alignment horizontal="center"/>
    </xf>
    <xf numFmtId="0" fontId="4" fillId="0" borderId="0" xfId="4" applyAlignment="1">
      <alignment horizontal="center" vertical="center"/>
    </xf>
    <xf numFmtId="0" fontId="7" fillId="9" borderId="0" xfId="7"/>
  </cellXfs>
  <cellStyles count="8">
    <cellStyle name="Bad" xfId="1" builtinId="27"/>
    <cellStyle name="Calculation" xfId="3" builtinId="22"/>
    <cellStyle name="Check Cell" xfId="5" builtinId="23"/>
    <cellStyle name="Explanatory Text" xfId="4" builtinId="53"/>
    <cellStyle name="Good" xfId="7" builtinId="26"/>
    <cellStyle name="Input" xfId="2" builtinId="20"/>
    <cellStyle name="Normal" xfId="0" builtinId="0"/>
    <cellStyle name="Note" xfId="6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D7CFF-7B5B-4EDB-ACC6-0255068D08B5}">
  <dimension ref="A1:EI984"/>
  <sheetViews>
    <sheetView tabSelected="1" topLeftCell="A13" workbookViewId="0">
      <selection activeCell="H30" sqref="H30"/>
    </sheetView>
  </sheetViews>
  <sheetFormatPr defaultRowHeight="15" x14ac:dyDescent="0.25"/>
  <cols>
    <col min="3" max="3" width="10.140625" bestFit="1" customWidth="1"/>
    <col min="15" max="15" width="10.28515625" customWidth="1"/>
    <col min="21" max="139" width="9.140625" style="3"/>
  </cols>
  <sheetData>
    <row r="1" spans="1:26" ht="15.75" thickBot="1" x14ac:dyDescent="0.3">
      <c r="A1" s="21" t="s">
        <v>66</v>
      </c>
      <c r="B1" s="21"/>
      <c r="C1" s="21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6" ht="16.5" thickTop="1" thickBot="1" x14ac:dyDescent="0.3">
      <c r="A2" s="2" t="s">
        <v>10</v>
      </c>
      <c r="B2" s="7" t="s">
        <v>64</v>
      </c>
      <c r="C2" s="5" t="s">
        <v>65</v>
      </c>
      <c r="D2" s="3"/>
      <c r="E2" s="23" t="s">
        <v>13</v>
      </c>
      <c r="F2" s="23"/>
      <c r="G2" s="23"/>
      <c r="H2" s="23"/>
      <c r="I2" s="23"/>
      <c r="J2" s="23"/>
      <c r="K2" s="23"/>
      <c r="L2" s="23"/>
      <c r="M2" s="23"/>
      <c r="N2" s="3"/>
      <c r="O2" s="20" t="s">
        <v>56</v>
      </c>
      <c r="P2" s="20"/>
      <c r="Q2" s="20"/>
      <c r="R2" s="20"/>
      <c r="S2" s="20"/>
      <c r="T2" s="3"/>
      <c r="U2" s="10" t="s">
        <v>67</v>
      </c>
      <c r="V2" s="10"/>
      <c r="W2" s="10"/>
      <c r="X2" s="10"/>
    </row>
    <row r="3" spans="1:26" ht="16.5" thickTop="1" thickBot="1" x14ac:dyDescent="0.3">
      <c r="A3" s="3"/>
      <c r="B3" s="3"/>
      <c r="C3" s="3"/>
      <c r="D3" s="3"/>
      <c r="E3" s="23" t="s">
        <v>14</v>
      </c>
      <c r="F3" s="23"/>
      <c r="G3" s="23"/>
      <c r="H3" s="23"/>
      <c r="I3" s="23"/>
      <c r="J3" s="23"/>
      <c r="K3" s="23"/>
      <c r="L3" s="23"/>
      <c r="M3" s="23"/>
      <c r="N3" s="3"/>
      <c r="O3" s="10"/>
      <c r="P3" s="10"/>
      <c r="Q3" s="10"/>
      <c r="R3" s="10"/>
      <c r="S3" s="10"/>
      <c r="T3" s="3"/>
    </row>
    <row r="4" spans="1:26" ht="16.5" thickTop="1" thickBot="1" x14ac:dyDescent="0.3">
      <c r="A4" s="7" t="s">
        <v>11</v>
      </c>
      <c r="B4" s="7"/>
      <c r="C4" s="8" t="s">
        <v>12</v>
      </c>
      <c r="D4" s="3"/>
      <c r="E4" s="23" t="s">
        <v>47</v>
      </c>
      <c r="F4" s="23"/>
      <c r="G4" s="23"/>
      <c r="H4" s="23"/>
      <c r="I4" s="23"/>
      <c r="J4" s="23"/>
      <c r="K4" s="23"/>
      <c r="L4" s="23"/>
      <c r="M4" s="23"/>
      <c r="N4" s="3"/>
      <c r="O4" s="10"/>
      <c r="P4" s="10"/>
      <c r="Q4" s="10"/>
      <c r="R4" s="10"/>
      <c r="S4" s="10"/>
      <c r="T4" s="3"/>
      <c r="U4" s="11" t="s">
        <v>57</v>
      </c>
      <c r="V4" s="12"/>
      <c r="W4" s="12"/>
      <c r="X4" s="13"/>
      <c r="Y4" s="24"/>
      <c r="Z4" s="24"/>
    </row>
    <row r="5" spans="1:26" ht="15.75" thickTop="1" x14ac:dyDescent="0.25">
      <c r="A5" s="22">
        <v>60</v>
      </c>
      <c r="B5" s="22"/>
      <c r="C5" s="3" t="s">
        <v>15</v>
      </c>
      <c r="D5" s="3"/>
      <c r="E5" s="23" t="s">
        <v>48</v>
      </c>
      <c r="F5" s="23"/>
      <c r="G5" s="23"/>
      <c r="H5" s="23"/>
      <c r="I5" s="23"/>
      <c r="J5" s="23"/>
      <c r="K5" s="23"/>
      <c r="L5" s="23"/>
      <c r="M5" s="23"/>
      <c r="N5" s="3"/>
      <c r="O5" s="10"/>
      <c r="P5" s="10"/>
      <c r="Q5" s="10"/>
      <c r="R5" s="10"/>
      <c r="S5" s="10"/>
      <c r="T5" s="3"/>
      <c r="U5" s="11" t="s">
        <v>58</v>
      </c>
      <c r="V5" s="12"/>
      <c r="W5" s="12"/>
      <c r="X5" s="13"/>
      <c r="Y5" s="24"/>
      <c r="Z5" s="24"/>
    </row>
    <row r="6" spans="1:26" ht="15.75" thickBot="1" x14ac:dyDescent="0.3">
      <c r="A6" s="3" t="s">
        <v>16</v>
      </c>
      <c r="B6" s="3" t="s">
        <v>16</v>
      </c>
      <c r="C6" s="3"/>
      <c r="D6" s="3"/>
      <c r="E6" s="4"/>
      <c r="F6" s="4"/>
      <c r="G6" s="4"/>
      <c r="H6" s="4"/>
      <c r="I6" s="4"/>
      <c r="J6" s="4"/>
      <c r="K6" s="4"/>
      <c r="L6" s="4"/>
      <c r="M6" s="4"/>
      <c r="N6" s="3"/>
      <c r="O6" s="3"/>
      <c r="P6" s="3"/>
      <c r="Q6" s="3"/>
      <c r="R6" s="3"/>
      <c r="S6" s="3"/>
      <c r="T6" s="3"/>
      <c r="U6" s="11" t="s">
        <v>59</v>
      </c>
      <c r="V6" s="12"/>
      <c r="W6" s="12"/>
      <c r="X6" s="13"/>
      <c r="Y6" s="24"/>
      <c r="Z6" s="24"/>
    </row>
    <row r="7" spans="1:26" ht="16.5" thickTop="1" thickBot="1" x14ac:dyDescent="0.3">
      <c r="A7" s="5">
        <f>H30</f>
        <v>1381</v>
      </c>
      <c r="B7" s="17" t="s">
        <v>17</v>
      </c>
      <c r="C7" s="18"/>
      <c r="D7" s="18"/>
      <c r="E7" s="18"/>
      <c r="F7" s="19"/>
      <c r="G7" s="3"/>
      <c r="H7" s="5">
        <f>O17</f>
        <v>2275</v>
      </c>
      <c r="I7" s="5" t="s">
        <v>59</v>
      </c>
      <c r="J7" s="5"/>
      <c r="K7" s="5"/>
      <c r="L7" s="5"/>
      <c r="M7" s="5"/>
      <c r="N7" s="3"/>
      <c r="O7" s="7"/>
      <c r="P7" s="7" t="s">
        <v>55</v>
      </c>
      <c r="Q7" s="7" t="s">
        <v>35</v>
      </c>
      <c r="R7" s="7" t="s">
        <v>27</v>
      </c>
      <c r="S7" s="3"/>
      <c r="T7" s="3"/>
      <c r="U7" s="11" t="s">
        <v>3</v>
      </c>
      <c r="V7" s="12"/>
      <c r="W7" s="12"/>
      <c r="X7" s="13"/>
      <c r="Y7" s="24"/>
      <c r="Z7" s="24"/>
    </row>
    <row r="8" spans="1:26" ht="16.5" thickTop="1" thickBot="1" x14ac:dyDescent="0.3">
      <c r="A8" s="5">
        <f>ROUND(A7*H34,2)</f>
        <v>3452.5</v>
      </c>
      <c r="B8" s="17" t="s">
        <v>18</v>
      </c>
      <c r="C8" s="18"/>
      <c r="D8" s="18"/>
      <c r="E8" s="18"/>
      <c r="F8" s="19"/>
      <c r="G8" s="3"/>
      <c r="H8" s="5">
        <f>LOOKUP($A$5,IntellectBase!A2:A61,IntellectBase!C2:C61)</f>
        <v>1747</v>
      </c>
      <c r="I8" s="5" t="s">
        <v>20</v>
      </c>
      <c r="J8" s="5"/>
      <c r="K8" s="5"/>
      <c r="L8" s="5"/>
      <c r="M8" s="5"/>
      <c r="N8" s="3"/>
      <c r="O8" s="7" t="s">
        <v>49</v>
      </c>
      <c r="P8" s="6">
        <v>250</v>
      </c>
      <c r="Q8" s="6">
        <v>250</v>
      </c>
      <c r="R8" s="6">
        <v>360</v>
      </c>
      <c r="S8" s="3"/>
      <c r="T8" s="3"/>
      <c r="U8" s="11" t="s">
        <v>62</v>
      </c>
      <c r="V8" s="12"/>
      <c r="W8" s="12"/>
      <c r="X8" s="13"/>
      <c r="Y8" s="24"/>
      <c r="Z8" s="24"/>
    </row>
    <row r="9" spans="1:26" ht="16.5" thickTop="1" thickBot="1" x14ac:dyDescent="0.3">
      <c r="A9" s="9" t="str">
        <f>ROUND(H21/A8,2)*1000&amp;"ms"</f>
        <v>10460ms</v>
      </c>
      <c r="B9" s="17" t="s">
        <v>19</v>
      </c>
      <c r="C9" s="18"/>
      <c r="D9" s="18"/>
      <c r="E9" s="18"/>
      <c r="F9" s="19"/>
      <c r="G9" s="3"/>
      <c r="H9" s="5">
        <v>1</v>
      </c>
      <c r="I9" s="5" t="s">
        <v>21</v>
      </c>
      <c r="J9" s="5"/>
      <c r="K9" s="5"/>
      <c r="L9" s="5"/>
      <c r="M9" s="5"/>
      <c r="N9" s="3"/>
      <c r="O9" s="7" t="s">
        <v>50</v>
      </c>
      <c r="P9" s="6">
        <v>350</v>
      </c>
      <c r="Q9" s="6">
        <v>350</v>
      </c>
      <c r="R9" s="6">
        <v>230</v>
      </c>
      <c r="S9" s="3"/>
      <c r="T9" s="3"/>
      <c r="U9" s="11" t="s">
        <v>63</v>
      </c>
      <c r="V9" s="12"/>
      <c r="W9" s="12"/>
      <c r="X9" s="13"/>
      <c r="Y9" s="24"/>
      <c r="Z9" s="24"/>
    </row>
    <row r="10" spans="1:26" ht="16.5" thickTop="1" thickBot="1" x14ac:dyDescent="0.3">
      <c r="A10" s="9" t="str">
        <f>ROUND(H21/A8,4)*1&amp;"s"</f>
        <v>10.4579s</v>
      </c>
      <c r="B10" s="17" t="s">
        <v>45</v>
      </c>
      <c r="C10" s="18"/>
      <c r="D10" s="18"/>
      <c r="E10" s="18"/>
      <c r="F10" s="19"/>
      <c r="G10" s="3"/>
      <c r="H10" s="5">
        <f>((H8+(H7*(A5*0.25)))*H9)</f>
        <v>35872</v>
      </c>
      <c r="I10" s="5" t="s">
        <v>22</v>
      </c>
      <c r="J10" s="5"/>
      <c r="K10" s="5"/>
      <c r="L10" s="5"/>
      <c r="M10" s="5"/>
      <c r="N10" s="3"/>
      <c r="O10" s="7" t="s">
        <v>51</v>
      </c>
      <c r="P10" s="6">
        <v>400</v>
      </c>
      <c r="Q10" s="6">
        <v>334</v>
      </c>
      <c r="R10" s="6">
        <v>350</v>
      </c>
      <c r="S10" s="3"/>
      <c r="T10" s="3"/>
      <c r="U10" s="11" t="s">
        <v>2</v>
      </c>
      <c r="V10" s="12"/>
      <c r="W10" s="12"/>
      <c r="X10" s="13"/>
      <c r="Y10" s="24"/>
      <c r="Z10" s="24"/>
    </row>
    <row r="11" spans="1:26" ht="16.5" thickTop="1" thickBot="1" x14ac:dyDescent="0.3">
      <c r="A11" s="9" t="str">
        <f>ROUND((H21/A8)/60,4)*1&amp;"m"</f>
        <v>0.1743m</v>
      </c>
      <c r="B11" s="17" t="s">
        <v>44</v>
      </c>
      <c r="C11" s="18"/>
      <c r="D11" s="18"/>
      <c r="E11" s="18"/>
      <c r="F11" s="19"/>
      <c r="G11" s="3"/>
      <c r="H11" s="5">
        <f>((H8+(H7*(A5*0.25)))*H9)</f>
        <v>35872</v>
      </c>
      <c r="I11" s="5" t="s">
        <v>23</v>
      </c>
      <c r="J11" s="5"/>
      <c r="K11" s="5"/>
      <c r="L11" s="5"/>
      <c r="M11" s="5"/>
      <c r="N11" s="3"/>
      <c r="O11" s="7" t="s">
        <v>52</v>
      </c>
      <c r="P11" s="6">
        <v>150</v>
      </c>
      <c r="Q11" s="6">
        <v>150</v>
      </c>
      <c r="R11" s="6">
        <v>150</v>
      </c>
      <c r="S11" s="3"/>
      <c r="T11" s="3"/>
      <c r="U11" s="11" t="s">
        <v>60</v>
      </c>
      <c r="V11" s="12"/>
      <c r="W11" s="12"/>
      <c r="X11" s="13"/>
      <c r="Y11" s="24"/>
      <c r="Z11" s="24"/>
    </row>
    <row r="12" spans="1:26" ht="16.5" thickTop="1" thickBot="1" x14ac:dyDescent="0.3">
      <c r="A12" s="9" t="str">
        <f>ROUND(((H21/A8)/60)/60,2)&amp;"h"</f>
        <v>0h</v>
      </c>
      <c r="B12" s="17" t="s">
        <v>46</v>
      </c>
      <c r="C12" s="18"/>
      <c r="D12" s="18"/>
      <c r="E12" s="18"/>
      <c r="F12" s="19"/>
      <c r="G12" s="3"/>
      <c r="H12" s="5">
        <f>H13*(1+H14)+(H10/100)</f>
        <v>364.72</v>
      </c>
      <c r="I12" s="5" t="s">
        <v>70</v>
      </c>
      <c r="J12" s="5"/>
      <c r="K12" s="5"/>
      <c r="L12" s="5"/>
      <c r="M12" s="5"/>
      <c r="N12" s="3"/>
      <c r="O12" s="7" t="s">
        <v>53</v>
      </c>
      <c r="P12" s="6">
        <v>500</v>
      </c>
      <c r="Q12" s="6">
        <v>500</v>
      </c>
      <c r="R12" s="6">
        <v>500</v>
      </c>
      <c r="S12" s="3"/>
      <c r="T12" s="3"/>
      <c r="U12" s="11" t="s">
        <v>61</v>
      </c>
      <c r="V12" s="12"/>
      <c r="W12" s="12"/>
      <c r="X12" s="13"/>
      <c r="Y12" s="24"/>
      <c r="Z12" s="24"/>
    </row>
    <row r="13" spans="1:26" ht="16.5" thickTop="1" thickBot="1" x14ac:dyDescent="0.3">
      <c r="A13" s="3"/>
      <c r="B13" s="3"/>
      <c r="C13" s="3"/>
      <c r="D13" s="3"/>
      <c r="E13" s="3"/>
      <c r="F13" s="3"/>
      <c r="G13" s="3"/>
      <c r="H13" s="5">
        <v>3</v>
      </c>
      <c r="I13" s="5" t="s">
        <v>24</v>
      </c>
      <c r="J13" s="5"/>
      <c r="K13" s="5"/>
      <c r="L13" s="5"/>
      <c r="M13" s="5"/>
      <c r="N13" s="3"/>
      <c r="O13" s="7" t="s">
        <v>54</v>
      </c>
      <c r="P13" s="6">
        <v>500</v>
      </c>
      <c r="Q13" s="6">
        <v>500</v>
      </c>
      <c r="R13" s="6">
        <v>500</v>
      </c>
      <c r="S13" s="3"/>
      <c r="T13" s="3"/>
      <c r="U13" s="11" t="s">
        <v>20</v>
      </c>
      <c r="V13" s="12"/>
      <c r="W13" s="12"/>
      <c r="X13" s="13"/>
      <c r="Y13" s="24"/>
      <c r="Z13" s="24"/>
    </row>
    <row r="14" spans="1:26" ht="15.75" thickTop="1" x14ac:dyDescent="0.25">
      <c r="A14" s="3"/>
      <c r="B14" s="3"/>
      <c r="C14" s="3"/>
      <c r="D14" s="3"/>
      <c r="E14" s="3"/>
      <c r="F14" s="3"/>
      <c r="G14" s="3"/>
      <c r="H14" s="5">
        <v>1</v>
      </c>
      <c r="I14" s="5" t="s">
        <v>25</v>
      </c>
      <c r="J14" s="5"/>
      <c r="K14" s="5"/>
      <c r="L14" s="5"/>
      <c r="M14" s="5"/>
      <c r="N14" s="3"/>
      <c r="O14" s="3"/>
      <c r="P14" s="3"/>
      <c r="Q14" s="3"/>
      <c r="R14" s="3"/>
      <c r="S14" s="3"/>
      <c r="T14" s="3"/>
      <c r="U14" s="11" t="s">
        <v>21</v>
      </c>
      <c r="V14" s="12"/>
      <c r="W14" s="12"/>
      <c r="X14" s="13"/>
      <c r="Y14" s="24"/>
      <c r="Z14" s="24"/>
    </row>
    <row r="15" spans="1:26" x14ac:dyDescent="0.25">
      <c r="A15" s="3"/>
      <c r="B15" s="3"/>
      <c r="C15" s="3"/>
      <c r="D15" s="3"/>
      <c r="E15" s="3"/>
      <c r="F15" s="3"/>
      <c r="G15" s="3"/>
      <c r="H15" s="5">
        <f>H12*5</f>
        <v>1823.6000000000001</v>
      </c>
      <c r="I15" s="5" t="s">
        <v>26</v>
      </c>
      <c r="J15" s="5"/>
      <c r="K15" s="5"/>
      <c r="L15" s="5"/>
      <c r="M15" s="5"/>
      <c r="N15" s="3"/>
      <c r="O15" s="5">
        <f>LOOKUP($A$5,IntellectBase!A2:A61,IntellectBase!B2:B61)</f>
        <v>125</v>
      </c>
      <c r="P15" s="5" t="s">
        <v>57</v>
      </c>
      <c r="Q15" s="5"/>
      <c r="R15" s="3"/>
      <c r="S15" s="3"/>
      <c r="T15" s="3"/>
      <c r="U15" s="11" t="s">
        <v>22</v>
      </c>
      <c r="V15" s="12"/>
      <c r="W15" s="12"/>
      <c r="X15" s="13"/>
      <c r="Y15" s="24"/>
      <c r="Z15" s="24"/>
    </row>
    <row r="16" spans="1:26" x14ac:dyDescent="0.25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5">
        <f>SUM(P8:P13)</f>
        <v>2150</v>
      </c>
      <c r="P16" s="5" t="s">
        <v>58</v>
      </c>
      <c r="Q16" s="5"/>
      <c r="R16" s="3"/>
      <c r="S16" s="3"/>
      <c r="T16" s="3"/>
      <c r="U16" s="11" t="s">
        <v>23</v>
      </c>
      <c r="V16" s="12"/>
      <c r="W16" s="12"/>
      <c r="X16" s="13"/>
      <c r="Y16" s="24"/>
      <c r="Z16" s="24"/>
    </row>
    <row r="17" spans="1:26" x14ac:dyDescent="0.25">
      <c r="A17" s="3"/>
      <c r="B17" s="3"/>
      <c r="C17" s="3"/>
      <c r="D17" s="3"/>
      <c r="E17" s="3"/>
      <c r="F17" s="3"/>
      <c r="G17" s="3"/>
      <c r="H17" s="5">
        <f>O21</f>
        <v>2215</v>
      </c>
      <c r="I17" s="5" t="s">
        <v>63</v>
      </c>
      <c r="J17" s="5"/>
      <c r="K17" s="5"/>
      <c r="L17" s="5"/>
      <c r="M17" s="5"/>
      <c r="N17" s="3"/>
      <c r="O17" s="5">
        <f>O15+O16</f>
        <v>2275</v>
      </c>
      <c r="P17" s="5" t="s">
        <v>59</v>
      </c>
      <c r="Q17" s="5"/>
      <c r="R17" s="3"/>
      <c r="S17" s="3"/>
      <c r="T17" s="3"/>
      <c r="U17" s="11" t="s">
        <v>69</v>
      </c>
      <c r="V17" s="12"/>
      <c r="W17" s="12"/>
      <c r="X17" s="13"/>
      <c r="Y17" s="24"/>
      <c r="Z17" s="24"/>
    </row>
    <row r="18" spans="1:26" x14ac:dyDescent="0.25">
      <c r="A18" s="3"/>
      <c r="B18" s="3"/>
      <c r="C18" s="3"/>
      <c r="D18" s="3"/>
      <c r="E18" s="3"/>
      <c r="F18" s="3"/>
      <c r="G18" s="3"/>
      <c r="H18" s="5">
        <f>LOOKUP($A$5,VitalityBase!A2:A61,VitalityBase!C2:C61)</f>
        <v>2881</v>
      </c>
      <c r="I18" s="5" t="s">
        <v>7</v>
      </c>
      <c r="J18" s="5"/>
      <c r="K18" s="5"/>
      <c r="L18" s="5"/>
      <c r="M18" s="5"/>
      <c r="N18" s="3"/>
      <c r="O18" s="3"/>
      <c r="P18" s="3"/>
      <c r="Q18" s="3"/>
      <c r="R18" s="3"/>
      <c r="S18" s="3"/>
      <c r="T18" s="3"/>
      <c r="U18" s="11" t="s">
        <v>24</v>
      </c>
      <c r="V18" s="12"/>
      <c r="W18" s="12"/>
      <c r="X18" s="13"/>
      <c r="Y18" s="24"/>
      <c r="Z18" s="24"/>
    </row>
    <row r="19" spans="1:26" x14ac:dyDescent="0.25">
      <c r="A19" s="3"/>
      <c r="B19" s="3"/>
      <c r="C19" s="3"/>
      <c r="D19" s="3"/>
      <c r="E19" s="3"/>
      <c r="F19" s="3"/>
      <c r="G19" s="3"/>
      <c r="H19" s="5">
        <v>1</v>
      </c>
      <c r="I19" s="5" t="s">
        <v>28</v>
      </c>
      <c r="J19" s="5"/>
      <c r="K19" s="5"/>
      <c r="L19" s="5"/>
      <c r="M19" s="5"/>
      <c r="N19" s="3"/>
      <c r="O19" s="5">
        <f>LOOKUP($A$5,VitalityBase!A2:A61,VitalityBase!B2:B61)</f>
        <v>125</v>
      </c>
      <c r="P19" s="5" t="s">
        <v>3</v>
      </c>
      <c r="Q19" s="5"/>
      <c r="R19" s="3"/>
      <c r="S19" s="3"/>
      <c r="T19" s="3"/>
      <c r="U19" s="11" t="s">
        <v>25</v>
      </c>
      <c r="V19" s="12"/>
      <c r="W19" s="12"/>
      <c r="X19" s="13"/>
      <c r="Y19" s="24"/>
      <c r="Z19" s="24"/>
    </row>
    <row r="20" spans="1:26" x14ac:dyDescent="0.25">
      <c r="A20" s="3"/>
      <c r="B20" s="3"/>
      <c r="C20" s="3"/>
      <c r="D20" s="3"/>
      <c r="E20" s="3"/>
      <c r="F20" s="3"/>
      <c r="G20" s="3"/>
      <c r="H20" s="5">
        <f>((H18+(H17*($A$5*0.25)))*H19)</f>
        <v>36106</v>
      </c>
      <c r="I20" s="5" t="s">
        <v>29</v>
      </c>
      <c r="J20" s="5"/>
      <c r="K20" s="5"/>
      <c r="L20" s="5"/>
      <c r="M20" s="5"/>
      <c r="N20" s="3"/>
      <c r="O20" s="5">
        <f>SUM(R8:R13)</f>
        <v>2090</v>
      </c>
      <c r="P20" s="5" t="s">
        <v>62</v>
      </c>
      <c r="Q20" s="5"/>
      <c r="R20" s="3"/>
      <c r="S20" s="3"/>
      <c r="T20" s="3"/>
      <c r="U20" s="14" t="s">
        <v>26</v>
      </c>
      <c r="V20" s="15"/>
      <c r="W20" s="15"/>
      <c r="X20" s="16"/>
      <c r="Y20" s="3" t="s">
        <v>68</v>
      </c>
    </row>
    <row r="21" spans="1:26" x14ac:dyDescent="0.25">
      <c r="A21" s="3"/>
      <c r="B21" s="3"/>
      <c r="C21" s="3"/>
      <c r="D21" s="3"/>
      <c r="E21" s="3"/>
      <c r="F21" s="3"/>
      <c r="G21" s="3"/>
      <c r="H21" s="5">
        <f>((H18+(H17*($A$5*0.25)))*H19)</f>
        <v>36106</v>
      </c>
      <c r="I21" s="5" t="s">
        <v>30</v>
      </c>
      <c r="J21" s="5"/>
      <c r="K21" s="5"/>
      <c r="L21" s="5"/>
      <c r="M21" s="5"/>
      <c r="N21" s="3"/>
      <c r="O21" s="5">
        <f>O19+O20</f>
        <v>2215</v>
      </c>
      <c r="P21" s="5" t="s">
        <v>63</v>
      </c>
      <c r="Q21" s="5"/>
      <c r="R21" s="3"/>
      <c r="S21" s="3"/>
      <c r="T21" s="3"/>
      <c r="U21" s="11" t="s">
        <v>7</v>
      </c>
      <c r="V21" s="12"/>
      <c r="W21" s="12"/>
      <c r="X21" s="13"/>
      <c r="Y21" s="24"/>
      <c r="Z21" s="24"/>
    </row>
    <row r="22" spans="1:26" x14ac:dyDescent="0.25">
      <c r="A22" s="3"/>
      <c r="B22" s="3"/>
      <c r="C22" s="3"/>
      <c r="D22" s="3"/>
      <c r="E22" s="3"/>
      <c r="F22" s="3"/>
      <c r="G22" s="3"/>
      <c r="H22" s="5">
        <f>H23*(1+H24)+(H20/100)</f>
        <v>367.06</v>
      </c>
      <c r="I22" s="5" t="s">
        <v>71</v>
      </c>
      <c r="J22" s="5"/>
      <c r="K22" s="5"/>
      <c r="L22" s="5"/>
      <c r="M22" s="5"/>
      <c r="N22" s="3"/>
      <c r="O22" s="3"/>
      <c r="P22" s="3"/>
      <c r="Q22" s="3"/>
      <c r="R22" s="3"/>
      <c r="S22" s="3"/>
      <c r="T22" s="3"/>
      <c r="U22" s="11" t="s">
        <v>28</v>
      </c>
      <c r="V22" s="12"/>
      <c r="W22" s="12"/>
      <c r="X22" s="13"/>
      <c r="Y22" s="24"/>
      <c r="Z22" s="24"/>
    </row>
    <row r="23" spans="1:26" x14ac:dyDescent="0.25">
      <c r="A23" s="3"/>
      <c r="B23" s="3"/>
      <c r="C23" s="3"/>
      <c r="D23" s="3"/>
      <c r="E23" s="3"/>
      <c r="F23" s="3"/>
      <c r="G23" s="3"/>
      <c r="H23" s="5">
        <v>3</v>
      </c>
      <c r="I23" s="5" t="s">
        <v>32</v>
      </c>
      <c r="J23" s="5"/>
      <c r="K23" s="5"/>
      <c r="L23" s="5"/>
      <c r="M23" s="5"/>
      <c r="N23" s="3"/>
      <c r="O23" s="5">
        <f>LOOKUP($A$5,AgilityBase!A2:A61,AgilityBase!B2:B61)</f>
        <v>31</v>
      </c>
      <c r="P23" s="5" t="s">
        <v>2</v>
      </c>
      <c r="Q23" s="5"/>
      <c r="R23" s="3"/>
      <c r="S23" s="3"/>
      <c r="T23" s="3"/>
      <c r="U23" s="11" t="s">
        <v>29</v>
      </c>
      <c r="V23" s="12"/>
      <c r="W23" s="12"/>
      <c r="X23" s="13"/>
      <c r="Y23" s="24"/>
      <c r="Z23" s="24"/>
    </row>
    <row r="24" spans="1:26" x14ac:dyDescent="0.25">
      <c r="A24" s="3"/>
      <c r="B24" s="3"/>
      <c r="C24" s="3"/>
      <c r="D24" s="3"/>
      <c r="E24" s="3"/>
      <c r="F24" s="3"/>
      <c r="G24" s="3"/>
      <c r="H24" s="5">
        <v>1</v>
      </c>
      <c r="I24" s="5" t="s">
        <v>33</v>
      </c>
      <c r="J24" s="5"/>
      <c r="K24" s="5"/>
      <c r="L24" s="5"/>
      <c r="M24" s="5"/>
      <c r="N24" s="3"/>
      <c r="O24" s="5">
        <f>SUM(Q8:Q13)</f>
        <v>2084</v>
      </c>
      <c r="P24" s="5" t="s">
        <v>60</v>
      </c>
      <c r="Q24" s="5"/>
      <c r="R24" s="3"/>
      <c r="S24" s="3"/>
      <c r="T24" s="3"/>
      <c r="U24" s="11" t="s">
        <v>30</v>
      </c>
      <c r="V24" s="12"/>
      <c r="W24" s="12"/>
      <c r="X24" s="13"/>
      <c r="Y24" s="24"/>
      <c r="Z24" s="24"/>
    </row>
    <row r="25" spans="1:26" x14ac:dyDescent="0.25">
      <c r="A25" s="3"/>
      <c r="B25" s="3"/>
      <c r="C25" s="3"/>
      <c r="D25" s="3"/>
      <c r="E25" s="3"/>
      <c r="F25" s="3"/>
      <c r="G25" s="3"/>
      <c r="H25" s="5">
        <f>H22*5</f>
        <v>1835.3</v>
      </c>
      <c r="I25" s="5" t="s">
        <v>34</v>
      </c>
      <c r="J25" s="5"/>
      <c r="K25" s="5"/>
      <c r="L25" s="5"/>
      <c r="M25" s="5"/>
      <c r="N25" s="3"/>
      <c r="O25" s="5">
        <f>O23+O24</f>
        <v>2115</v>
      </c>
      <c r="P25" s="5" t="s">
        <v>61</v>
      </c>
      <c r="Q25" s="5"/>
      <c r="R25" s="3"/>
      <c r="S25" s="3"/>
      <c r="T25" s="3"/>
      <c r="U25" s="11" t="s">
        <v>31</v>
      </c>
      <c r="V25" s="12"/>
      <c r="W25" s="12"/>
      <c r="X25" s="13"/>
      <c r="Y25" s="24"/>
      <c r="Z25" s="24"/>
    </row>
    <row r="26" spans="1:26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1" t="s">
        <v>32</v>
      </c>
      <c r="V26" s="12"/>
      <c r="W26" s="12"/>
      <c r="X26" s="13"/>
      <c r="Y26" s="24"/>
      <c r="Z26" s="24"/>
    </row>
    <row r="27" spans="1:26" x14ac:dyDescent="0.25">
      <c r="A27" s="3"/>
      <c r="B27" s="3"/>
      <c r="C27" s="3"/>
      <c r="D27" s="3"/>
      <c r="E27" s="3"/>
      <c r="F27" s="3"/>
      <c r="G27" s="3"/>
      <c r="H27" s="5">
        <f>O25</f>
        <v>2115</v>
      </c>
      <c r="I27" s="5" t="s">
        <v>61</v>
      </c>
      <c r="J27" s="5"/>
      <c r="K27" s="5"/>
      <c r="L27" s="5"/>
      <c r="M27" s="5"/>
      <c r="N27" s="3"/>
      <c r="O27" s="3"/>
      <c r="P27" s="3"/>
      <c r="Q27" s="3"/>
      <c r="R27" s="3"/>
      <c r="S27" s="3"/>
      <c r="T27" s="3"/>
      <c r="U27" s="11" t="s">
        <v>33</v>
      </c>
      <c r="V27" s="12"/>
      <c r="W27" s="12"/>
      <c r="X27" s="13"/>
      <c r="Y27" s="24"/>
      <c r="Z27" s="24"/>
    </row>
    <row r="28" spans="1:26" x14ac:dyDescent="0.25">
      <c r="A28" s="3"/>
      <c r="B28" s="3"/>
      <c r="C28" s="3"/>
      <c r="D28" s="3"/>
      <c r="E28" s="3"/>
      <c r="F28" s="3"/>
      <c r="G28" s="3"/>
      <c r="H28" s="5">
        <f>LOOKUP($A$5,AgilityBase!A2:A61,AgilityBase!C2:C61)</f>
        <v>437</v>
      </c>
      <c r="I28" s="5" t="s">
        <v>36</v>
      </c>
      <c r="J28" s="5"/>
      <c r="K28" s="5"/>
      <c r="L28" s="5"/>
      <c r="M28" s="5"/>
      <c r="N28" s="3"/>
      <c r="O28" s="3"/>
      <c r="P28" s="3"/>
      <c r="Q28" s="3"/>
      <c r="R28" s="3"/>
      <c r="S28" s="3"/>
      <c r="T28" s="3"/>
      <c r="U28" s="14" t="s">
        <v>34</v>
      </c>
      <c r="V28" s="15"/>
      <c r="W28" s="15"/>
      <c r="X28" s="16"/>
      <c r="Y28" s="3" t="s">
        <v>68</v>
      </c>
    </row>
    <row r="29" spans="1:26" x14ac:dyDescent="0.25">
      <c r="A29" s="1" t="s">
        <v>5</v>
      </c>
      <c r="B29" s="1" t="s">
        <v>6</v>
      </c>
      <c r="C29" s="3"/>
      <c r="D29" s="3"/>
      <c r="E29" s="3"/>
      <c r="F29" s="3"/>
      <c r="G29" s="3"/>
      <c r="H29" s="5">
        <f>(((H7/5)*H37)/100)+((H27*H36)/10)+1</f>
        <v>3.1605000000000003</v>
      </c>
      <c r="I29" s="5" t="s">
        <v>37</v>
      </c>
      <c r="J29" s="5"/>
      <c r="K29" s="5"/>
      <c r="L29" s="5"/>
      <c r="M29" s="5"/>
      <c r="N29" s="3"/>
      <c r="O29" s="3"/>
      <c r="P29" s="3"/>
      <c r="Q29" s="3"/>
      <c r="R29" s="3"/>
      <c r="S29" s="3"/>
      <c r="T29" s="3"/>
      <c r="U29" s="11" t="s">
        <v>36</v>
      </c>
      <c r="V29" s="12"/>
      <c r="W29" s="12"/>
      <c r="X29" s="13"/>
      <c r="Y29" s="24"/>
      <c r="Z29" s="24"/>
    </row>
    <row r="30" spans="1:26" x14ac:dyDescent="0.25">
      <c r="A30" s="1" t="e">
        <f>ROUND(B30+(B30*((ROUND(POWER($AB$81,B31)/100,2)))),0)</f>
        <v>#REF!</v>
      </c>
      <c r="B30" s="1" t="e">
        <f>LOOKUP(B31,#REF!,#REF!)</f>
        <v>#REF!</v>
      </c>
      <c r="C30" s="3"/>
      <c r="D30" s="3"/>
      <c r="E30" s="3"/>
      <c r="F30" s="3"/>
      <c r="G30" s="3"/>
      <c r="H30" s="5">
        <f>ROUND(H28*H29,0)</f>
        <v>1381</v>
      </c>
      <c r="I30" s="5" t="s">
        <v>38</v>
      </c>
      <c r="J30" s="5"/>
      <c r="K30" s="5"/>
      <c r="L30" s="5"/>
      <c r="M30" s="5"/>
      <c r="N30" s="3"/>
      <c r="O30" s="3"/>
      <c r="P30" s="3"/>
      <c r="Q30" s="3"/>
      <c r="R30" s="3"/>
      <c r="S30" s="3"/>
      <c r="T30" s="3"/>
      <c r="U30" s="11" t="s">
        <v>37</v>
      </c>
      <c r="V30" s="12"/>
      <c r="W30" s="12"/>
      <c r="X30" s="13"/>
      <c r="Y30" s="24"/>
      <c r="Z30" s="24"/>
    </row>
    <row r="31" spans="1:26" x14ac:dyDescent="0.25">
      <c r="A31" s="1">
        <v>1.0649999999999999</v>
      </c>
      <c r="B31" s="1">
        <v>30</v>
      </c>
      <c r="C31" s="3"/>
      <c r="D31" s="3"/>
      <c r="E31" s="3"/>
      <c r="F31" s="3"/>
      <c r="G31" s="3"/>
      <c r="H31" s="5">
        <f>LOOKUP(A5,AgilityBase!A2:A61,AgilityBase!D2:D61)</f>
        <v>1</v>
      </c>
      <c r="I31" s="5" t="s">
        <v>9</v>
      </c>
      <c r="J31" s="5"/>
      <c r="K31" s="5"/>
      <c r="L31" s="5"/>
      <c r="M31" s="5"/>
      <c r="N31" s="3"/>
      <c r="O31" s="3"/>
      <c r="P31" s="3"/>
      <c r="Q31" s="3"/>
      <c r="R31" s="3"/>
      <c r="S31" s="3"/>
      <c r="T31" s="3"/>
      <c r="U31" s="11" t="s">
        <v>38</v>
      </c>
      <c r="V31" s="12"/>
      <c r="W31" s="12"/>
      <c r="X31" s="13"/>
      <c r="Y31" s="24"/>
      <c r="Z31" s="24"/>
    </row>
    <row r="32" spans="1:26" x14ac:dyDescent="0.25">
      <c r="A32" s="3"/>
      <c r="B32" s="3"/>
      <c r="C32" s="3"/>
      <c r="D32" s="3"/>
      <c r="E32" s="3"/>
      <c r="F32" s="3"/>
      <c r="G32" s="3"/>
      <c r="H32" s="5" t="b">
        <f>IF(H33&gt;=2.5,TRUE,FALSE)</f>
        <v>1</v>
      </c>
      <c r="I32" s="5" t="s">
        <v>39</v>
      </c>
      <c r="J32" s="5"/>
      <c r="K32" s="5"/>
      <c r="L32" s="5"/>
      <c r="M32" s="5"/>
      <c r="N32" s="3"/>
      <c r="O32" s="3"/>
      <c r="P32" s="3"/>
      <c r="Q32" s="3"/>
      <c r="R32" s="3"/>
      <c r="S32" s="3"/>
      <c r="T32" s="3"/>
      <c r="U32" s="11" t="s">
        <v>9</v>
      </c>
      <c r="V32" s="12"/>
      <c r="W32" s="12"/>
      <c r="X32" s="13"/>
      <c r="Y32" s="24"/>
      <c r="Z32" s="24"/>
    </row>
    <row r="33" spans="1:26" x14ac:dyDescent="0.25">
      <c r="A33" s="3"/>
      <c r="B33" s="3"/>
      <c r="C33" s="3"/>
      <c r="D33" s="3"/>
      <c r="E33" s="3"/>
      <c r="F33" s="3"/>
      <c r="G33" s="3"/>
      <c r="H33" s="5">
        <f>((H27/15)*0.1)+1</f>
        <v>15.100000000000001</v>
      </c>
      <c r="I33" s="5" t="s">
        <v>40</v>
      </c>
      <c r="J33" s="5"/>
      <c r="K33" s="5"/>
      <c r="L33" s="5"/>
      <c r="M33" s="5"/>
      <c r="N33" s="3"/>
      <c r="O33" s="3"/>
      <c r="P33" s="3"/>
      <c r="Q33" s="3"/>
      <c r="R33" s="3"/>
      <c r="S33" s="3"/>
      <c r="T33" s="3"/>
      <c r="U33" s="11" t="s">
        <v>39</v>
      </c>
      <c r="V33" s="12"/>
      <c r="W33" s="12"/>
      <c r="X33" s="13"/>
      <c r="Y33" s="3" t="s">
        <v>68</v>
      </c>
    </row>
    <row r="34" spans="1:26" x14ac:dyDescent="0.25">
      <c r="A34" s="3"/>
      <c r="B34" s="3"/>
      <c r="C34" s="3"/>
      <c r="D34" s="3"/>
      <c r="E34" s="3"/>
      <c r="F34" s="3"/>
      <c r="G34" s="3"/>
      <c r="H34" s="5">
        <f>IF(H32=TRUE,2.5,H31*H33)</f>
        <v>2.5</v>
      </c>
      <c r="I34" s="5" t="s">
        <v>41</v>
      </c>
      <c r="J34" s="5"/>
      <c r="K34" s="5"/>
      <c r="L34" s="5"/>
      <c r="M34" s="5"/>
      <c r="N34" s="3"/>
      <c r="O34" s="3"/>
      <c r="P34" s="3"/>
      <c r="Q34" s="3"/>
      <c r="R34" s="3"/>
      <c r="S34" s="3"/>
      <c r="T34" s="3"/>
      <c r="U34" s="11" t="s">
        <v>40</v>
      </c>
      <c r="V34" s="12"/>
      <c r="W34" s="12"/>
      <c r="X34" s="13"/>
      <c r="Y34" s="24"/>
      <c r="Z34" s="24"/>
    </row>
    <row r="35" spans="1:26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1" t="s">
        <v>41</v>
      </c>
      <c r="V35" s="12"/>
      <c r="W35" s="12"/>
      <c r="X35" s="13"/>
      <c r="Y35" s="24"/>
      <c r="Z35" s="24"/>
    </row>
    <row r="36" spans="1:26" x14ac:dyDescent="0.25">
      <c r="A36" s="3"/>
      <c r="B36" s="3"/>
      <c r="C36" s="3"/>
      <c r="D36" s="3"/>
      <c r="E36" s="3"/>
      <c r="F36" s="3"/>
      <c r="G36" s="3"/>
      <c r="H36" s="5">
        <v>0.01</v>
      </c>
      <c r="I36" s="5" t="s">
        <v>42</v>
      </c>
      <c r="J36" s="5"/>
      <c r="K36" s="5"/>
      <c r="L36" s="5"/>
      <c r="M36" s="5"/>
      <c r="N36" s="3"/>
      <c r="O36" s="3"/>
      <c r="P36" s="3"/>
      <c r="Q36" s="3"/>
      <c r="R36" s="3"/>
      <c r="S36" s="3"/>
      <c r="T36" s="3"/>
      <c r="U36" s="14" t="s">
        <v>42</v>
      </c>
      <c r="V36" s="15"/>
      <c r="W36" s="15"/>
      <c r="X36" s="16"/>
      <c r="Y36" s="24" t="s">
        <v>68</v>
      </c>
      <c r="Z36" s="24"/>
    </row>
    <row r="37" spans="1:26" x14ac:dyDescent="0.25">
      <c r="A37" s="3"/>
      <c r="B37" s="3"/>
      <c r="C37" s="3"/>
      <c r="D37" s="3"/>
      <c r="E37" s="3"/>
      <c r="F37" s="3"/>
      <c r="G37" s="3"/>
      <c r="H37" s="5">
        <v>0.01</v>
      </c>
      <c r="I37" s="5" t="s">
        <v>43</v>
      </c>
      <c r="J37" s="5"/>
      <c r="K37" s="5"/>
      <c r="L37" s="5"/>
      <c r="M37" s="5"/>
      <c r="N37" s="3"/>
      <c r="O37" s="3"/>
      <c r="P37" s="3"/>
      <c r="Q37" s="3"/>
      <c r="R37" s="3"/>
      <c r="S37" s="3"/>
      <c r="T37" s="3"/>
      <c r="U37" s="14" t="s">
        <v>43</v>
      </c>
      <c r="V37" s="15"/>
      <c r="W37" s="15"/>
      <c r="X37" s="16"/>
      <c r="Y37" s="24" t="s">
        <v>68</v>
      </c>
      <c r="Z37" s="24"/>
    </row>
    <row r="38" spans="1:26" s="3" customFormat="1" x14ac:dyDescent="0.25"/>
    <row r="39" spans="1:26" s="3" customFormat="1" x14ac:dyDescent="0.25"/>
    <row r="40" spans="1:26" s="3" customFormat="1" x14ac:dyDescent="0.25"/>
    <row r="41" spans="1:26" s="3" customFormat="1" x14ac:dyDescent="0.25"/>
    <row r="42" spans="1:26" s="3" customFormat="1" x14ac:dyDescent="0.25"/>
    <row r="43" spans="1:26" s="3" customFormat="1" x14ac:dyDescent="0.25"/>
    <row r="44" spans="1:26" s="3" customFormat="1" x14ac:dyDescent="0.25"/>
    <row r="45" spans="1:26" s="3" customFormat="1" x14ac:dyDescent="0.25"/>
    <row r="46" spans="1:26" s="3" customFormat="1" x14ac:dyDescent="0.25"/>
    <row r="47" spans="1:26" s="3" customFormat="1" x14ac:dyDescent="0.25"/>
    <row r="48" spans="1:26" s="3" customFormat="1" x14ac:dyDescent="0.25"/>
    <row r="49" s="3" customFormat="1" x14ac:dyDescent="0.25"/>
    <row r="50" s="3" customFormat="1" x14ac:dyDescent="0.25"/>
    <row r="51" s="3" customFormat="1" x14ac:dyDescent="0.25"/>
    <row r="52" s="3" customFormat="1" x14ac:dyDescent="0.25"/>
    <row r="53" s="3" customFormat="1" x14ac:dyDescent="0.25"/>
    <row r="54" s="3" customFormat="1" x14ac:dyDescent="0.25"/>
    <row r="55" s="3" customFormat="1" x14ac:dyDescent="0.25"/>
    <row r="56" s="3" customFormat="1" x14ac:dyDescent="0.25"/>
    <row r="57" s="3" customFormat="1" x14ac:dyDescent="0.25"/>
    <row r="58" s="3" customFormat="1" x14ac:dyDescent="0.25"/>
    <row r="59" s="3" customFormat="1" x14ac:dyDescent="0.25"/>
    <row r="60" s="3" customFormat="1" x14ac:dyDescent="0.25"/>
    <row r="61" s="3" customFormat="1" x14ac:dyDescent="0.25"/>
    <row r="62" s="3" customFormat="1" x14ac:dyDescent="0.25"/>
    <row r="63" s="3" customFormat="1" x14ac:dyDescent="0.25"/>
    <row r="64" s="3" customFormat="1" x14ac:dyDescent="0.25"/>
    <row r="65" s="3" customFormat="1" x14ac:dyDescent="0.25"/>
    <row r="66" s="3" customFormat="1" x14ac:dyDescent="0.25"/>
    <row r="67" s="3" customFormat="1" x14ac:dyDescent="0.25"/>
    <row r="68" s="3" customFormat="1" x14ac:dyDescent="0.25"/>
    <row r="69" s="3" customFormat="1" x14ac:dyDescent="0.25"/>
    <row r="70" s="3" customFormat="1" x14ac:dyDescent="0.25"/>
    <row r="71" s="3" customFormat="1" x14ac:dyDescent="0.25"/>
    <row r="72" s="3" customFormat="1" x14ac:dyDescent="0.25"/>
    <row r="73" s="3" customFormat="1" x14ac:dyDescent="0.25"/>
    <row r="74" s="3" customFormat="1" x14ac:dyDescent="0.25"/>
    <row r="75" s="3" customFormat="1" x14ac:dyDescent="0.25"/>
    <row r="76" s="3" customFormat="1" x14ac:dyDescent="0.25"/>
    <row r="77" s="3" customFormat="1" x14ac:dyDescent="0.25"/>
    <row r="78" s="3" customFormat="1" x14ac:dyDescent="0.25"/>
    <row r="79" s="3" customFormat="1" x14ac:dyDescent="0.25"/>
    <row r="80" s="3" customFormat="1" x14ac:dyDescent="0.25"/>
    <row r="81" s="3" customFormat="1" x14ac:dyDescent="0.25"/>
    <row r="82" s="3" customFormat="1" x14ac:dyDescent="0.25"/>
    <row r="83" s="3" customFormat="1" x14ac:dyDescent="0.25"/>
    <row r="84" s="3" customFormat="1" x14ac:dyDescent="0.25"/>
    <row r="85" s="3" customFormat="1" x14ac:dyDescent="0.25"/>
    <row r="86" s="3" customFormat="1" x14ac:dyDescent="0.25"/>
    <row r="87" s="3" customFormat="1" x14ac:dyDescent="0.25"/>
    <row r="88" s="3" customFormat="1" x14ac:dyDescent="0.25"/>
    <row r="89" s="3" customFormat="1" x14ac:dyDescent="0.25"/>
    <row r="90" s="3" customFormat="1" x14ac:dyDescent="0.25"/>
    <row r="91" s="3" customFormat="1" x14ac:dyDescent="0.25"/>
    <row r="92" s="3" customFormat="1" x14ac:dyDescent="0.25"/>
    <row r="93" s="3" customFormat="1" x14ac:dyDescent="0.25"/>
    <row r="94" s="3" customFormat="1" x14ac:dyDescent="0.25"/>
    <row r="95" s="3" customFormat="1" x14ac:dyDescent="0.25"/>
    <row r="96" s="3" customFormat="1" x14ac:dyDescent="0.25"/>
    <row r="97" s="3" customFormat="1" x14ac:dyDescent="0.25"/>
    <row r="98" s="3" customFormat="1" x14ac:dyDescent="0.25"/>
    <row r="99" s="3" customFormat="1" x14ac:dyDescent="0.25"/>
    <row r="100" s="3" customFormat="1" x14ac:dyDescent="0.25"/>
    <row r="101" s="3" customFormat="1" x14ac:dyDescent="0.25"/>
    <row r="102" s="3" customFormat="1" x14ac:dyDescent="0.25"/>
    <row r="103" s="3" customFormat="1" x14ac:dyDescent="0.25"/>
    <row r="104" s="3" customFormat="1" x14ac:dyDescent="0.25"/>
    <row r="105" s="3" customFormat="1" x14ac:dyDescent="0.25"/>
    <row r="106" s="3" customFormat="1" x14ac:dyDescent="0.25"/>
    <row r="107" s="3" customFormat="1" x14ac:dyDescent="0.25"/>
    <row r="108" s="3" customFormat="1" x14ac:dyDescent="0.25"/>
    <row r="109" s="3" customFormat="1" x14ac:dyDescent="0.25"/>
    <row r="110" s="3" customFormat="1" x14ac:dyDescent="0.25"/>
    <row r="111" s="3" customFormat="1" x14ac:dyDescent="0.25"/>
    <row r="112" s="3" customFormat="1" x14ac:dyDescent="0.25"/>
    <row r="113" s="3" customFormat="1" x14ac:dyDescent="0.25"/>
    <row r="114" s="3" customFormat="1" x14ac:dyDescent="0.25"/>
    <row r="115" s="3" customFormat="1" x14ac:dyDescent="0.25"/>
    <row r="116" s="3" customFormat="1" x14ac:dyDescent="0.25"/>
    <row r="117" s="3" customFormat="1" x14ac:dyDescent="0.25"/>
    <row r="118" s="3" customFormat="1" x14ac:dyDescent="0.25"/>
    <row r="119" s="3" customFormat="1" x14ac:dyDescent="0.25"/>
    <row r="120" s="3" customFormat="1" x14ac:dyDescent="0.25"/>
    <row r="121" s="3" customFormat="1" x14ac:dyDescent="0.25"/>
    <row r="122" s="3" customFormat="1" x14ac:dyDescent="0.25"/>
    <row r="123" s="3" customFormat="1" x14ac:dyDescent="0.25"/>
    <row r="124" s="3" customFormat="1" x14ac:dyDescent="0.25"/>
    <row r="125" s="3" customFormat="1" x14ac:dyDescent="0.25"/>
    <row r="126" s="3" customFormat="1" x14ac:dyDescent="0.25"/>
    <row r="127" s="3" customFormat="1" x14ac:dyDescent="0.25"/>
    <row r="128" s="3" customFormat="1" x14ac:dyDescent="0.25"/>
    <row r="129" s="3" customFormat="1" x14ac:dyDescent="0.25"/>
    <row r="130" s="3" customFormat="1" x14ac:dyDescent="0.25"/>
    <row r="131" s="3" customFormat="1" x14ac:dyDescent="0.25"/>
    <row r="132" s="3" customFormat="1" x14ac:dyDescent="0.25"/>
    <row r="133" s="3" customFormat="1" x14ac:dyDescent="0.25"/>
    <row r="134" s="3" customFormat="1" x14ac:dyDescent="0.25"/>
    <row r="135" s="3" customFormat="1" x14ac:dyDescent="0.25"/>
    <row r="136" s="3" customFormat="1" x14ac:dyDescent="0.25"/>
    <row r="137" s="3" customFormat="1" x14ac:dyDescent="0.25"/>
    <row r="138" s="3" customFormat="1" x14ac:dyDescent="0.25"/>
    <row r="139" s="3" customFormat="1" x14ac:dyDescent="0.25"/>
    <row r="140" s="3" customFormat="1" x14ac:dyDescent="0.25"/>
    <row r="141" s="3" customFormat="1" x14ac:dyDescent="0.25"/>
    <row r="142" s="3" customFormat="1" x14ac:dyDescent="0.25"/>
    <row r="143" s="3" customFormat="1" x14ac:dyDescent="0.25"/>
    <row r="144" s="3" customFormat="1" x14ac:dyDescent="0.25"/>
    <row r="145" s="3" customFormat="1" x14ac:dyDescent="0.25"/>
    <row r="146" s="3" customFormat="1" x14ac:dyDescent="0.25"/>
    <row r="147" s="3" customFormat="1" x14ac:dyDescent="0.25"/>
    <row r="148" s="3" customFormat="1" x14ac:dyDescent="0.25"/>
    <row r="149" s="3" customFormat="1" x14ac:dyDescent="0.25"/>
    <row r="150" s="3" customFormat="1" x14ac:dyDescent="0.25"/>
    <row r="151" s="3" customFormat="1" x14ac:dyDescent="0.25"/>
    <row r="152" s="3" customFormat="1" x14ac:dyDescent="0.25"/>
    <row r="153" s="3" customFormat="1" x14ac:dyDescent="0.25"/>
    <row r="154" s="3" customFormat="1" x14ac:dyDescent="0.25"/>
    <row r="155" s="3" customFormat="1" x14ac:dyDescent="0.25"/>
    <row r="156" s="3" customFormat="1" x14ac:dyDescent="0.25"/>
    <row r="157" s="3" customFormat="1" x14ac:dyDescent="0.25"/>
    <row r="158" s="3" customFormat="1" x14ac:dyDescent="0.25"/>
    <row r="159" s="3" customFormat="1" x14ac:dyDescent="0.25"/>
    <row r="160" s="3" customFormat="1" x14ac:dyDescent="0.25"/>
    <row r="161" s="3" customFormat="1" x14ac:dyDescent="0.25"/>
    <row r="162" s="3" customFormat="1" x14ac:dyDescent="0.25"/>
    <row r="163" s="3" customFormat="1" x14ac:dyDescent="0.25"/>
    <row r="164" s="3" customFormat="1" x14ac:dyDescent="0.25"/>
    <row r="165" s="3" customFormat="1" x14ac:dyDescent="0.25"/>
    <row r="166" s="3" customFormat="1" x14ac:dyDescent="0.25"/>
    <row r="167" s="3" customFormat="1" x14ac:dyDescent="0.25"/>
    <row r="168" s="3" customFormat="1" x14ac:dyDescent="0.25"/>
    <row r="169" s="3" customFormat="1" x14ac:dyDescent="0.25"/>
    <row r="170" s="3" customFormat="1" x14ac:dyDescent="0.25"/>
    <row r="171" s="3" customFormat="1" x14ac:dyDescent="0.25"/>
    <row r="172" s="3" customFormat="1" x14ac:dyDescent="0.25"/>
    <row r="173" s="3" customFormat="1" x14ac:dyDescent="0.25"/>
    <row r="174" s="3" customFormat="1" x14ac:dyDescent="0.25"/>
    <row r="175" s="3" customFormat="1" x14ac:dyDescent="0.25"/>
    <row r="176" s="3" customFormat="1" x14ac:dyDescent="0.25"/>
    <row r="177" s="3" customFormat="1" x14ac:dyDescent="0.25"/>
    <row r="178" s="3" customFormat="1" x14ac:dyDescent="0.25"/>
    <row r="179" s="3" customFormat="1" x14ac:dyDescent="0.25"/>
    <row r="180" s="3" customFormat="1" x14ac:dyDescent="0.25"/>
    <row r="181" s="3" customFormat="1" x14ac:dyDescent="0.25"/>
    <row r="182" s="3" customFormat="1" x14ac:dyDescent="0.25"/>
    <row r="183" s="3" customFormat="1" x14ac:dyDescent="0.25"/>
    <row r="184" s="3" customFormat="1" x14ac:dyDescent="0.25"/>
    <row r="185" s="3" customFormat="1" x14ac:dyDescent="0.25"/>
    <row r="186" s="3" customFormat="1" x14ac:dyDescent="0.25"/>
    <row r="187" s="3" customFormat="1" x14ac:dyDescent="0.25"/>
    <row r="188" s="3" customFormat="1" x14ac:dyDescent="0.25"/>
    <row r="189" s="3" customFormat="1" x14ac:dyDescent="0.25"/>
    <row r="190" s="3" customFormat="1" x14ac:dyDescent="0.25"/>
    <row r="191" s="3" customFormat="1" x14ac:dyDescent="0.25"/>
    <row r="192" s="3" customFormat="1" x14ac:dyDescent="0.25"/>
    <row r="193" s="3" customFormat="1" x14ac:dyDescent="0.25"/>
    <row r="194" s="3" customFormat="1" x14ac:dyDescent="0.25"/>
    <row r="195" s="3" customFormat="1" x14ac:dyDescent="0.25"/>
    <row r="196" s="3" customFormat="1" x14ac:dyDescent="0.25"/>
    <row r="197" s="3" customFormat="1" x14ac:dyDescent="0.25"/>
    <row r="198" s="3" customFormat="1" x14ac:dyDescent="0.25"/>
    <row r="199" s="3" customFormat="1" x14ac:dyDescent="0.25"/>
    <row r="200" s="3" customFormat="1" x14ac:dyDescent="0.25"/>
    <row r="201" s="3" customFormat="1" x14ac:dyDescent="0.25"/>
    <row r="202" s="3" customFormat="1" x14ac:dyDescent="0.25"/>
    <row r="203" s="3" customFormat="1" x14ac:dyDescent="0.25"/>
    <row r="204" s="3" customFormat="1" x14ac:dyDescent="0.25"/>
    <row r="205" s="3" customFormat="1" x14ac:dyDescent="0.25"/>
    <row r="206" s="3" customFormat="1" x14ac:dyDescent="0.25"/>
    <row r="207" s="3" customFormat="1" x14ac:dyDescent="0.25"/>
    <row r="208" s="3" customFormat="1" x14ac:dyDescent="0.25"/>
    <row r="209" s="3" customFormat="1" x14ac:dyDescent="0.25"/>
    <row r="210" s="3" customFormat="1" x14ac:dyDescent="0.25"/>
    <row r="211" s="3" customFormat="1" x14ac:dyDescent="0.25"/>
    <row r="212" s="3" customFormat="1" x14ac:dyDescent="0.25"/>
    <row r="213" s="3" customFormat="1" x14ac:dyDescent="0.25"/>
    <row r="214" s="3" customFormat="1" x14ac:dyDescent="0.25"/>
    <row r="215" s="3" customFormat="1" x14ac:dyDescent="0.25"/>
    <row r="216" s="3" customFormat="1" x14ac:dyDescent="0.25"/>
    <row r="217" s="3" customFormat="1" x14ac:dyDescent="0.25"/>
    <row r="218" s="3" customFormat="1" x14ac:dyDescent="0.25"/>
    <row r="219" s="3" customFormat="1" x14ac:dyDescent="0.25"/>
    <row r="220" s="3" customFormat="1" x14ac:dyDescent="0.25"/>
    <row r="221" s="3" customFormat="1" x14ac:dyDescent="0.25"/>
    <row r="222" s="3" customFormat="1" x14ac:dyDescent="0.25"/>
    <row r="223" s="3" customFormat="1" x14ac:dyDescent="0.25"/>
    <row r="224" s="3" customFormat="1" x14ac:dyDescent="0.25"/>
    <row r="225" s="3" customFormat="1" x14ac:dyDescent="0.25"/>
    <row r="226" s="3" customFormat="1" x14ac:dyDescent="0.25"/>
    <row r="227" s="3" customFormat="1" x14ac:dyDescent="0.25"/>
    <row r="228" s="3" customFormat="1" x14ac:dyDescent="0.25"/>
    <row r="229" s="3" customFormat="1" x14ac:dyDescent="0.25"/>
    <row r="230" s="3" customFormat="1" x14ac:dyDescent="0.25"/>
    <row r="231" s="3" customFormat="1" x14ac:dyDescent="0.25"/>
    <row r="232" s="3" customFormat="1" x14ac:dyDescent="0.25"/>
    <row r="233" s="3" customFormat="1" x14ac:dyDescent="0.25"/>
    <row r="234" s="3" customFormat="1" x14ac:dyDescent="0.25"/>
    <row r="235" s="3" customFormat="1" x14ac:dyDescent="0.25"/>
    <row r="236" s="3" customFormat="1" x14ac:dyDescent="0.25"/>
    <row r="237" s="3" customFormat="1" x14ac:dyDescent="0.25"/>
    <row r="238" s="3" customFormat="1" x14ac:dyDescent="0.25"/>
    <row r="239" s="3" customFormat="1" x14ac:dyDescent="0.25"/>
    <row r="240" s="3" customFormat="1" x14ac:dyDescent="0.25"/>
    <row r="241" s="3" customFormat="1" x14ac:dyDescent="0.25"/>
    <row r="242" s="3" customFormat="1" x14ac:dyDescent="0.25"/>
    <row r="243" s="3" customFormat="1" x14ac:dyDescent="0.25"/>
    <row r="244" s="3" customFormat="1" x14ac:dyDescent="0.25"/>
    <row r="245" s="3" customFormat="1" x14ac:dyDescent="0.25"/>
    <row r="246" s="3" customFormat="1" x14ac:dyDescent="0.25"/>
    <row r="247" s="3" customFormat="1" x14ac:dyDescent="0.25"/>
    <row r="248" s="3" customFormat="1" x14ac:dyDescent="0.25"/>
    <row r="249" s="3" customFormat="1" x14ac:dyDescent="0.25"/>
    <row r="250" s="3" customFormat="1" x14ac:dyDescent="0.25"/>
    <row r="251" s="3" customFormat="1" x14ac:dyDescent="0.25"/>
    <row r="252" s="3" customFormat="1" x14ac:dyDescent="0.25"/>
    <row r="253" s="3" customFormat="1" x14ac:dyDescent="0.25"/>
    <row r="254" s="3" customFormat="1" x14ac:dyDescent="0.25"/>
    <row r="255" s="3" customFormat="1" x14ac:dyDescent="0.25"/>
    <row r="256" s="3" customFormat="1" x14ac:dyDescent="0.25"/>
    <row r="257" s="3" customFormat="1" x14ac:dyDescent="0.25"/>
    <row r="258" s="3" customFormat="1" x14ac:dyDescent="0.25"/>
    <row r="259" s="3" customFormat="1" x14ac:dyDescent="0.25"/>
    <row r="260" s="3" customFormat="1" x14ac:dyDescent="0.25"/>
    <row r="261" s="3" customFormat="1" x14ac:dyDescent="0.25"/>
    <row r="262" s="3" customFormat="1" x14ac:dyDescent="0.25"/>
    <row r="263" s="3" customFormat="1" x14ac:dyDescent="0.25"/>
    <row r="264" s="3" customFormat="1" x14ac:dyDescent="0.25"/>
    <row r="265" s="3" customFormat="1" x14ac:dyDescent="0.25"/>
    <row r="266" s="3" customFormat="1" x14ac:dyDescent="0.25"/>
    <row r="267" s="3" customFormat="1" x14ac:dyDescent="0.25"/>
    <row r="268" s="3" customFormat="1" x14ac:dyDescent="0.25"/>
    <row r="269" s="3" customFormat="1" x14ac:dyDescent="0.25"/>
    <row r="270" s="3" customFormat="1" x14ac:dyDescent="0.25"/>
    <row r="271" s="3" customFormat="1" x14ac:dyDescent="0.25"/>
    <row r="272" s="3" customFormat="1" x14ac:dyDescent="0.25"/>
    <row r="273" s="3" customFormat="1" x14ac:dyDescent="0.25"/>
    <row r="274" s="3" customFormat="1" x14ac:dyDescent="0.25"/>
    <row r="275" s="3" customFormat="1" x14ac:dyDescent="0.25"/>
    <row r="276" s="3" customFormat="1" x14ac:dyDescent="0.25"/>
    <row r="277" s="3" customFormat="1" x14ac:dyDescent="0.25"/>
    <row r="278" s="3" customFormat="1" x14ac:dyDescent="0.25"/>
    <row r="279" s="3" customFormat="1" x14ac:dyDescent="0.25"/>
    <row r="280" s="3" customFormat="1" x14ac:dyDescent="0.25"/>
    <row r="281" s="3" customFormat="1" x14ac:dyDescent="0.25"/>
    <row r="282" s="3" customFormat="1" x14ac:dyDescent="0.25"/>
    <row r="283" s="3" customFormat="1" x14ac:dyDescent="0.25"/>
    <row r="284" s="3" customFormat="1" x14ac:dyDescent="0.25"/>
    <row r="285" s="3" customFormat="1" x14ac:dyDescent="0.25"/>
    <row r="286" s="3" customFormat="1" x14ac:dyDescent="0.25"/>
    <row r="287" s="3" customFormat="1" x14ac:dyDescent="0.25"/>
    <row r="288" s="3" customFormat="1" x14ac:dyDescent="0.25"/>
    <row r="289" s="3" customFormat="1" x14ac:dyDescent="0.25"/>
    <row r="290" s="3" customFormat="1" x14ac:dyDescent="0.25"/>
    <row r="291" s="3" customFormat="1" x14ac:dyDescent="0.25"/>
    <row r="292" s="3" customFormat="1" x14ac:dyDescent="0.25"/>
    <row r="293" s="3" customFormat="1" x14ac:dyDescent="0.25"/>
    <row r="294" s="3" customFormat="1" x14ac:dyDescent="0.25"/>
    <row r="295" s="3" customFormat="1" x14ac:dyDescent="0.25"/>
    <row r="296" s="3" customFormat="1" x14ac:dyDescent="0.25"/>
    <row r="297" s="3" customFormat="1" x14ac:dyDescent="0.25"/>
    <row r="298" s="3" customFormat="1" x14ac:dyDescent="0.25"/>
    <row r="299" s="3" customFormat="1" x14ac:dyDescent="0.25"/>
    <row r="300" s="3" customFormat="1" x14ac:dyDescent="0.25"/>
    <row r="301" s="3" customFormat="1" x14ac:dyDescent="0.25"/>
    <row r="302" s="3" customFormat="1" x14ac:dyDescent="0.25"/>
    <row r="303" s="3" customFormat="1" x14ac:dyDescent="0.25"/>
    <row r="304" s="3" customFormat="1" x14ac:dyDescent="0.25"/>
    <row r="305" s="3" customFormat="1" x14ac:dyDescent="0.25"/>
    <row r="306" s="3" customFormat="1" x14ac:dyDescent="0.25"/>
    <row r="307" s="3" customFormat="1" x14ac:dyDescent="0.25"/>
    <row r="308" s="3" customFormat="1" x14ac:dyDescent="0.25"/>
    <row r="309" s="3" customFormat="1" x14ac:dyDescent="0.25"/>
    <row r="310" s="3" customFormat="1" x14ac:dyDescent="0.25"/>
    <row r="311" s="3" customFormat="1" x14ac:dyDescent="0.25"/>
    <row r="312" s="3" customFormat="1" x14ac:dyDescent="0.25"/>
    <row r="313" s="3" customFormat="1" x14ac:dyDescent="0.25"/>
    <row r="314" s="3" customFormat="1" x14ac:dyDescent="0.25"/>
    <row r="315" s="3" customFormat="1" x14ac:dyDescent="0.25"/>
    <row r="316" s="3" customFormat="1" x14ac:dyDescent="0.25"/>
    <row r="317" s="3" customFormat="1" x14ac:dyDescent="0.25"/>
    <row r="318" s="3" customFormat="1" x14ac:dyDescent="0.25"/>
    <row r="319" s="3" customFormat="1" x14ac:dyDescent="0.25"/>
    <row r="320" s="3" customFormat="1" x14ac:dyDescent="0.25"/>
    <row r="321" s="3" customFormat="1" x14ac:dyDescent="0.25"/>
    <row r="322" s="3" customFormat="1" x14ac:dyDescent="0.25"/>
    <row r="323" s="3" customFormat="1" x14ac:dyDescent="0.25"/>
    <row r="324" s="3" customFormat="1" x14ac:dyDescent="0.25"/>
    <row r="325" s="3" customFormat="1" x14ac:dyDescent="0.25"/>
    <row r="326" s="3" customFormat="1" x14ac:dyDescent="0.25"/>
    <row r="327" s="3" customFormat="1" x14ac:dyDescent="0.25"/>
    <row r="328" s="3" customFormat="1" x14ac:dyDescent="0.25"/>
    <row r="329" s="3" customFormat="1" x14ac:dyDescent="0.25"/>
    <row r="330" s="3" customFormat="1" x14ac:dyDescent="0.25"/>
    <row r="331" s="3" customFormat="1" x14ac:dyDescent="0.25"/>
    <row r="332" s="3" customFormat="1" x14ac:dyDescent="0.25"/>
    <row r="333" s="3" customFormat="1" x14ac:dyDescent="0.25"/>
    <row r="334" s="3" customFormat="1" x14ac:dyDescent="0.25"/>
    <row r="335" s="3" customFormat="1" x14ac:dyDescent="0.25"/>
    <row r="336" s="3" customFormat="1" x14ac:dyDescent="0.25"/>
    <row r="337" s="3" customFormat="1" x14ac:dyDescent="0.25"/>
    <row r="338" s="3" customFormat="1" x14ac:dyDescent="0.25"/>
    <row r="339" s="3" customFormat="1" x14ac:dyDescent="0.25"/>
    <row r="340" s="3" customFormat="1" x14ac:dyDescent="0.25"/>
    <row r="341" s="3" customFormat="1" x14ac:dyDescent="0.25"/>
    <row r="342" s="3" customFormat="1" x14ac:dyDescent="0.25"/>
    <row r="343" s="3" customFormat="1" x14ac:dyDescent="0.25"/>
    <row r="344" s="3" customFormat="1" x14ac:dyDescent="0.25"/>
    <row r="345" s="3" customFormat="1" x14ac:dyDescent="0.25"/>
    <row r="346" s="3" customFormat="1" x14ac:dyDescent="0.25"/>
    <row r="347" s="3" customFormat="1" x14ac:dyDescent="0.25"/>
    <row r="348" s="3" customFormat="1" x14ac:dyDescent="0.25"/>
    <row r="349" s="3" customFormat="1" x14ac:dyDescent="0.25"/>
    <row r="350" s="3" customFormat="1" x14ac:dyDescent="0.25"/>
    <row r="351" s="3" customFormat="1" x14ac:dyDescent="0.25"/>
    <row r="352" s="3" customFormat="1" x14ac:dyDescent="0.25"/>
    <row r="353" s="3" customFormat="1" x14ac:dyDescent="0.25"/>
    <row r="354" s="3" customFormat="1" x14ac:dyDescent="0.25"/>
    <row r="355" s="3" customFormat="1" x14ac:dyDescent="0.25"/>
    <row r="356" s="3" customFormat="1" x14ac:dyDescent="0.25"/>
    <row r="357" s="3" customFormat="1" x14ac:dyDescent="0.25"/>
    <row r="358" s="3" customFormat="1" x14ac:dyDescent="0.25"/>
    <row r="359" s="3" customFormat="1" x14ac:dyDescent="0.25"/>
    <row r="360" s="3" customFormat="1" x14ac:dyDescent="0.25"/>
    <row r="361" s="3" customFormat="1" x14ac:dyDescent="0.25"/>
    <row r="362" s="3" customFormat="1" x14ac:dyDescent="0.25"/>
    <row r="363" s="3" customFormat="1" x14ac:dyDescent="0.25"/>
    <row r="364" s="3" customFormat="1" x14ac:dyDescent="0.25"/>
    <row r="365" s="3" customFormat="1" x14ac:dyDescent="0.25"/>
    <row r="366" s="3" customFormat="1" x14ac:dyDescent="0.25"/>
    <row r="367" s="3" customFormat="1" x14ac:dyDescent="0.25"/>
    <row r="368" s="3" customFormat="1" x14ac:dyDescent="0.25"/>
    <row r="369" s="3" customFormat="1" x14ac:dyDescent="0.25"/>
    <row r="370" s="3" customFormat="1" x14ac:dyDescent="0.25"/>
    <row r="371" s="3" customFormat="1" x14ac:dyDescent="0.25"/>
    <row r="372" s="3" customFormat="1" x14ac:dyDescent="0.25"/>
    <row r="373" s="3" customFormat="1" x14ac:dyDescent="0.25"/>
    <row r="374" s="3" customFormat="1" x14ac:dyDescent="0.25"/>
    <row r="375" s="3" customFormat="1" x14ac:dyDescent="0.25"/>
    <row r="376" s="3" customFormat="1" x14ac:dyDescent="0.25"/>
    <row r="377" s="3" customFormat="1" x14ac:dyDescent="0.25"/>
    <row r="378" s="3" customFormat="1" x14ac:dyDescent="0.25"/>
    <row r="379" s="3" customFormat="1" x14ac:dyDescent="0.25"/>
    <row r="380" s="3" customFormat="1" x14ac:dyDescent="0.25"/>
    <row r="381" s="3" customFormat="1" x14ac:dyDescent="0.25"/>
    <row r="382" s="3" customFormat="1" x14ac:dyDescent="0.25"/>
    <row r="383" s="3" customFormat="1" x14ac:dyDescent="0.25"/>
    <row r="384" s="3" customFormat="1" x14ac:dyDescent="0.25"/>
    <row r="385" s="3" customFormat="1" x14ac:dyDescent="0.25"/>
    <row r="386" s="3" customFormat="1" x14ac:dyDescent="0.25"/>
    <row r="387" s="3" customFormat="1" x14ac:dyDescent="0.25"/>
    <row r="388" s="3" customFormat="1" x14ac:dyDescent="0.25"/>
    <row r="389" s="3" customFormat="1" x14ac:dyDescent="0.25"/>
    <row r="390" s="3" customFormat="1" x14ac:dyDescent="0.25"/>
    <row r="391" s="3" customFormat="1" x14ac:dyDescent="0.25"/>
    <row r="392" s="3" customFormat="1" x14ac:dyDescent="0.25"/>
    <row r="393" s="3" customFormat="1" x14ac:dyDescent="0.25"/>
    <row r="394" s="3" customFormat="1" x14ac:dyDescent="0.25"/>
    <row r="395" s="3" customFormat="1" x14ac:dyDescent="0.25"/>
    <row r="396" s="3" customFormat="1" x14ac:dyDescent="0.25"/>
    <row r="397" s="3" customFormat="1" x14ac:dyDescent="0.25"/>
    <row r="398" s="3" customFormat="1" x14ac:dyDescent="0.25"/>
    <row r="399" s="3" customFormat="1" x14ac:dyDescent="0.25"/>
    <row r="400" s="3" customFormat="1" x14ac:dyDescent="0.25"/>
    <row r="401" s="3" customFormat="1" x14ac:dyDescent="0.25"/>
    <row r="402" s="3" customFormat="1" x14ac:dyDescent="0.25"/>
    <row r="403" s="3" customFormat="1" x14ac:dyDescent="0.25"/>
    <row r="404" s="3" customFormat="1" x14ac:dyDescent="0.25"/>
    <row r="405" s="3" customFormat="1" x14ac:dyDescent="0.25"/>
    <row r="406" s="3" customFormat="1" x14ac:dyDescent="0.25"/>
    <row r="407" s="3" customFormat="1" x14ac:dyDescent="0.25"/>
    <row r="408" s="3" customFormat="1" x14ac:dyDescent="0.25"/>
    <row r="409" s="3" customFormat="1" x14ac:dyDescent="0.25"/>
    <row r="410" s="3" customFormat="1" x14ac:dyDescent="0.25"/>
    <row r="411" s="3" customFormat="1" x14ac:dyDescent="0.25"/>
    <row r="412" s="3" customFormat="1" x14ac:dyDescent="0.25"/>
    <row r="413" s="3" customFormat="1" x14ac:dyDescent="0.25"/>
    <row r="414" s="3" customFormat="1" x14ac:dyDescent="0.25"/>
    <row r="415" s="3" customFormat="1" x14ac:dyDescent="0.25"/>
    <row r="416" s="3" customFormat="1" x14ac:dyDescent="0.25"/>
    <row r="417" s="3" customFormat="1" x14ac:dyDescent="0.25"/>
    <row r="418" s="3" customFormat="1" x14ac:dyDescent="0.25"/>
    <row r="419" s="3" customFormat="1" x14ac:dyDescent="0.25"/>
    <row r="420" s="3" customFormat="1" x14ac:dyDescent="0.25"/>
    <row r="421" s="3" customFormat="1" x14ac:dyDescent="0.25"/>
    <row r="422" s="3" customFormat="1" x14ac:dyDescent="0.25"/>
    <row r="423" s="3" customFormat="1" x14ac:dyDescent="0.25"/>
    <row r="424" s="3" customFormat="1" x14ac:dyDescent="0.25"/>
    <row r="425" s="3" customFormat="1" x14ac:dyDescent="0.25"/>
    <row r="426" s="3" customFormat="1" x14ac:dyDescent="0.25"/>
    <row r="427" s="3" customFormat="1" x14ac:dyDescent="0.25"/>
    <row r="428" s="3" customFormat="1" x14ac:dyDescent="0.25"/>
    <row r="429" s="3" customFormat="1" x14ac:dyDescent="0.25"/>
    <row r="430" s="3" customFormat="1" x14ac:dyDescent="0.25"/>
    <row r="431" s="3" customFormat="1" x14ac:dyDescent="0.25"/>
    <row r="432" s="3" customFormat="1" x14ac:dyDescent="0.25"/>
    <row r="433" s="3" customFormat="1" x14ac:dyDescent="0.25"/>
    <row r="434" s="3" customFormat="1" x14ac:dyDescent="0.25"/>
    <row r="435" s="3" customFormat="1" x14ac:dyDescent="0.25"/>
    <row r="436" s="3" customFormat="1" x14ac:dyDescent="0.25"/>
    <row r="437" s="3" customFormat="1" x14ac:dyDescent="0.25"/>
    <row r="438" s="3" customFormat="1" x14ac:dyDescent="0.25"/>
    <row r="439" s="3" customFormat="1" x14ac:dyDescent="0.25"/>
    <row r="440" s="3" customFormat="1" x14ac:dyDescent="0.25"/>
    <row r="441" s="3" customFormat="1" x14ac:dyDescent="0.25"/>
    <row r="442" s="3" customFormat="1" x14ac:dyDescent="0.25"/>
    <row r="443" s="3" customFormat="1" x14ac:dyDescent="0.25"/>
    <row r="444" s="3" customFormat="1" x14ac:dyDescent="0.25"/>
    <row r="445" s="3" customFormat="1" x14ac:dyDescent="0.25"/>
    <row r="446" s="3" customFormat="1" x14ac:dyDescent="0.25"/>
    <row r="447" s="3" customFormat="1" x14ac:dyDescent="0.25"/>
    <row r="448" s="3" customFormat="1" x14ac:dyDescent="0.25"/>
    <row r="449" s="3" customFormat="1" x14ac:dyDescent="0.25"/>
    <row r="450" s="3" customFormat="1" x14ac:dyDescent="0.25"/>
    <row r="451" s="3" customFormat="1" x14ac:dyDescent="0.25"/>
    <row r="452" s="3" customFormat="1" x14ac:dyDescent="0.25"/>
    <row r="453" s="3" customFormat="1" x14ac:dyDescent="0.25"/>
    <row r="454" s="3" customFormat="1" x14ac:dyDescent="0.25"/>
    <row r="455" s="3" customFormat="1" x14ac:dyDescent="0.25"/>
    <row r="456" s="3" customFormat="1" x14ac:dyDescent="0.25"/>
    <row r="457" s="3" customFormat="1" x14ac:dyDescent="0.25"/>
    <row r="458" s="3" customFormat="1" x14ac:dyDescent="0.25"/>
    <row r="459" s="3" customFormat="1" x14ac:dyDescent="0.25"/>
    <row r="460" s="3" customFormat="1" x14ac:dyDescent="0.25"/>
    <row r="461" s="3" customFormat="1" x14ac:dyDescent="0.25"/>
    <row r="462" s="3" customFormat="1" x14ac:dyDescent="0.25"/>
    <row r="463" s="3" customFormat="1" x14ac:dyDescent="0.25"/>
    <row r="464" s="3" customFormat="1" x14ac:dyDescent="0.25"/>
    <row r="465" s="3" customFormat="1" x14ac:dyDescent="0.25"/>
    <row r="466" s="3" customFormat="1" x14ac:dyDescent="0.25"/>
    <row r="467" s="3" customFormat="1" x14ac:dyDescent="0.25"/>
    <row r="468" s="3" customFormat="1" x14ac:dyDescent="0.25"/>
    <row r="469" s="3" customFormat="1" x14ac:dyDescent="0.25"/>
    <row r="470" s="3" customFormat="1" x14ac:dyDescent="0.25"/>
    <row r="471" s="3" customFormat="1" x14ac:dyDescent="0.25"/>
    <row r="472" s="3" customFormat="1" x14ac:dyDescent="0.25"/>
    <row r="473" s="3" customFormat="1" x14ac:dyDescent="0.25"/>
    <row r="474" s="3" customFormat="1" x14ac:dyDescent="0.25"/>
    <row r="475" s="3" customFormat="1" x14ac:dyDescent="0.25"/>
    <row r="476" s="3" customFormat="1" x14ac:dyDescent="0.25"/>
    <row r="477" s="3" customFormat="1" x14ac:dyDescent="0.25"/>
    <row r="478" s="3" customFormat="1" x14ac:dyDescent="0.25"/>
    <row r="479" s="3" customFormat="1" x14ac:dyDescent="0.25"/>
    <row r="480" s="3" customFormat="1" x14ac:dyDescent="0.25"/>
    <row r="481" s="3" customFormat="1" x14ac:dyDescent="0.25"/>
    <row r="482" s="3" customFormat="1" x14ac:dyDescent="0.25"/>
    <row r="483" s="3" customFormat="1" x14ac:dyDescent="0.25"/>
    <row r="484" s="3" customFormat="1" x14ac:dyDescent="0.25"/>
    <row r="485" s="3" customFormat="1" x14ac:dyDescent="0.25"/>
    <row r="486" s="3" customFormat="1" x14ac:dyDescent="0.25"/>
    <row r="487" s="3" customFormat="1" x14ac:dyDescent="0.25"/>
    <row r="488" s="3" customFormat="1" x14ac:dyDescent="0.25"/>
    <row r="489" s="3" customFormat="1" x14ac:dyDescent="0.25"/>
    <row r="490" s="3" customFormat="1" x14ac:dyDescent="0.25"/>
    <row r="491" s="3" customFormat="1" x14ac:dyDescent="0.25"/>
    <row r="492" s="3" customFormat="1" x14ac:dyDescent="0.25"/>
    <row r="493" s="3" customFormat="1" x14ac:dyDescent="0.25"/>
    <row r="494" s="3" customFormat="1" x14ac:dyDescent="0.25"/>
    <row r="495" s="3" customFormat="1" x14ac:dyDescent="0.25"/>
    <row r="496" s="3" customFormat="1" x14ac:dyDescent="0.25"/>
    <row r="497" s="3" customFormat="1" x14ac:dyDescent="0.25"/>
    <row r="498" s="3" customFormat="1" x14ac:dyDescent="0.25"/>
    <row r="499" s="3" customFormat="1" x14ac:dyDescent="0.25"/>
    <row r="500" s="3" customFormat="1" x14ac:dyDescent="0.25"/>
    <row r="501" s="3" customFormat="1" x14ac:dyDescent="0.25"/>
    <row r="502" s="3" customFormat="1" x14ac:dyDescent="0.25"/>
    <row r="503" s="3" customFormat="1" x14ac:dyDescent="0.25"/>
    <row r="504" s="3" customFormat="1" x14ac:dyDescent="0.25"/>
    <row r="505" s="3" customFormat="1" x14ac:dyDescent="0.25"/>
    <row r="506" s="3" customFormat="1" x14ac:dyDescent="0.25"/>
    <row r="507" s="3" customFormat="1" x14ac:dyDescent="0.25"/>
    <row r="508" s="3" customFormat="1" x14ac:dyDescent="0.25"/>
    <row r="509" s="3" customFormat="1" x14ac:dyDescent="0.25"/>
    <row r="510" s="3" customFormat="1" x14ac:dyDescent="0.25"/>
    <row r="511" s="3" customFormat="1" x14ac:dyDescent="0.25"/>
    <row r="512" s="3" customFormat="1" x14ac:dyDescent="0.25"/>
    <row r="513" s="3" customFormat="1" x14ac:dyDescent="0.25"/>
    <row r="514" s="3" customFormat="1" x14ac:dyDescent="0.25"/>
    <row r="515" s="3" customFormat="1" x14ac:dyDescent="0.25"/>
    <row r="516" s="3" customFormat="1" x14ac:dyDescent="0.25"/>
    <row r="517" s="3" customFormat="1" x14ac:dyDescent="0.25"/>
    <row r="518" s="3" customFormat="1" x14ac:dyDescent="0.25"/>
    <row r="519" s="3" customFormat="1" x14ac:dyDescent="0.25"/>
    <row r="520" s="3" customFormat="1" x14ac:dyDescent="0.25"/>
    <row r="521" s="3" customFormat="1" x14ac:dyDescent="0.25"/>
    <row r="522" s="3" customFormat="1" x14ac:dyDescent="0.25"/>
    <row r="523" s="3" customFormat="1" x14ac:dyDescent="0.25"/>
    <row r="524" s="3" customFormat="1" x14ac:dyDescent="0.25"/>
    <row r="525" s="3" customFormat="1" x14ac:dyDescent="0.25"/>
    <row r="526" s="3" customFormat="1" x14ac:dyDescent="0.25"/>
    <row r="527" s="3" customFormat="1" x14ac:dyDescent="0.25"/>
    <row r="528" s="3" customFormat="1" x14ac:dyDescent="0.25"/>
    <row r="529" s="3" customFormat="1" x14ac:dyDescent="0.25"/>
    <row r="530" s="3" customFormat="1" x14ac:dyDescent="0.25"/>
    <row r="531" s="3" customFormat="1" x14ac:dyDescent="0.25"/>
    <row r="532" s="3" customFormat="1" x14ac:dyDescent="0.25"/>
    <row r="533" s="3" customFormat="1" x14ac:dyDescent="0.25"/>
    <row r="534" s="3" customFormat="1" x14ac:dyDescent="0.25"/>
    <row r="535" s="3" customFormat="1" x14ac:dyDescent="0.25"/>
    <row r="536" s="3" customFormat="1" x14ac:dyDescent="0.25"/>
    <row r="537" s="3" customFormat="1" x14ac:dyDescent="0.25"/>
    <row r="538" s="3" customFormat="1" x14ac:dyDescent="0.25"/>
    <row r="539" s="3" customFormat="1" x14ac:dyDescent="0.25"/>
    <row r="540" s="3" customFormat="1" x14ac:dyDescent="0.25"/>
    <row r="541" s="3" customFormat="1" x14ac:dyDescent="0.25"/>
    <row r="542" s="3" customFormat="1" x14ac:dyDescent="0.25"/>
    <row r="543" s="3" customFormat="1" x14ac:dyDescent="0.25"/>
    <row r="544" s="3" customFormat="1" x14ac:dyDescent="0.25"/>
    <row r="545" s="3" customFormat="1" x14ac:dyDescent="0.25"/>
    <row r="546" s="3" customFormat="1" x14ac:dyDescent="0.25"/>
    <row r="547" s="3" customFormat="1" x14ac:dyDescent="0.25"/>
    <row r="548" s="3" customFormat="1" x14ac:dyDescent="0.25"/>
    <row r="549" s="3" customFormat="1" x14ac:dyDescent="0.25"/>
    <row r="550" s="3" customFormat="1" x14ac:dyDescent="0.25"/>
    <row r="551" s="3" customFormat="1" x14ac:dyDescent="0.25"/>
    <row r="552" s="3" customFormat="1" x14ac:dyDescent="0.25"/>
    <row r="553" s="3" customFormat="1" x14ac:dyDescent="0.25"/>
    <row r="554" s="3" customFormat="1" x14ac:dyDescent="0.25"/>
    <row r="555" s="3" customFormat="1" x14ac:dyDescent="0.25"/>
    <row r="556" s="3" customFormat="1" x14ac:dyDescent="0.25"/>
    <row r="557" s="3" customFormat="1" x14ac:dyDescent="0.25"/>
    <row r="558" s="3" customFormat="1" x14ac:dyDescent="0.25"/>
    <row r="559" s="3" customFormat="1" x14ac:dyDescent="0.25"/>
    <row r="560" s="3" customFormat="1" x14ac:dyDescent="0.25"/>
    <row r="561" s="3" customFormat="1" x14ac:dyDescent="0.25"/>
    <row r="562" s="3" customFormat="1" x14ac:dyDescent="0.25"/>
    <row r="563" s="3" customFormat="1" x14ac:dyDescent="0.25"/>
    <row r="564" s="3" customFormat="1" x14ac:dyDescent="0.25"/>
    <row r="565" s="3" customFormat="1" x14ac:dyDescent="0.25"/>
    <row r="566" s="3" customFormat="1" x14ac:dyDescent="0.25"/>
    <row r="567" s="3" customFormat="1" x14ac:dyDescent="0.25"/>
    <row r="568" s="3" customFormat="1" x14ac:dyDescent="0.25"/>
    <row r="569" s="3" customFormat="1" x14ac:dyDescent="0.25"/>
    <row r="570" s="3" customFormat="1" x14ac:dyDescent="0.25"/>
    <row r="571" s="3" customFormat="1" x14ac:dyDescent="0.25"/>
    <row r="572" s="3" customFormat="1" x14ac:dyDescent="0.25"/>
    <row r="573" s="3" customFormat="1" x14ac:dyDescent="0.25"/>
    <row r="574" s="3" customFormat="1" x14ac:dyDescent="0.25"/>
    <row r="575" s="3" customFormat="1" x14ac:dyDescent="0.25"/>
    <row r="576" s="3" customFormat="1" x14ac:dyDescent="0.25"/>
    <row r="577" s="3" customFormat="1" x14ac:dyDescent="0.25"/>
    <row r="578" s="3" customFormat="1" x14ac:dyDescent="0.25"/>
    <row r="579" s="3" customFormat="1" x14ac:dyDescent="0.25"/>
    <row r="580" s="3" customFormat="1" x14ac:dyDescent="0.25"/>
    <row r="581" s="3" customFormat="1" x14ac:dyDescent="0.25"/>
    <row r="582" s="3" customFormat="1" x14ac:dyDescent="0.25"/>
    <row r="583" s="3" customFormat="1" x14ac:dyDescent="0.25"/>
    <row r="584" s="3" customFormat="1" x14ac:dyDescent="0.25"/>
    <row r="585" s="3" customFormat="1" x14ac:dyDescent="0.25"/>
    <row r="586" s="3" customFormat="1" x14ac:dyDescent="0.25"/>
    <row r="587" s="3" customFormat="1" x14ac:dyDescent="0.25"/>
    <row r="588" s="3" customFormat="1" x14ac:dyDescent="0.25"/>
    <row r="589" s="3" customFormat="1" x14ac:dyDescent="0.25"/>
    <row r="590" s="3" customFormat="1" x14ac:dyDescent="0.25"/>
    <row r="591" s="3" customFormat="1" x14ac:dyDescent="0.25"/>
    <row r="592" s="3" customFormat="1" x14ac:dyDescent="0.25"/>
    <row r="593" s="3" customFormat="1" x14ac:dyDescent="0.25"/>
    <row r="594" s="3" customFormat="1" x14ac:dyDescent="0.25"/>
    <row r="595" s="3" customFormat="1" x14ac:dyDescent="0.25"/>
    <row r="596" s="3" customFormat="1" x14ac:dyDescent="0.25"/>
    <row r="597" s="3" customFormat="1" x14ac:dyDescent="0.25"/>
    <row r="598" s="3" customFormat="1" x14ac:dyDescent="0.25"/>
    <row r="599" s="3" customFormat="1" x14ac:dyDescent="0.25"/>
    <row r="600" s="3" customFormat="1" x14ac:dyDescent="0.25"/>
    <row r="601" s="3" customFormat="1" x14ac:dyDescent="0.25"/>
    <row r="602" s="3" customFormat="1" x14ac:dyDescent="0.25"/>
    <row r="603" s="3" customFormat="1" x14ac:dyDescent="0.25"/>
    <row r="604" s="3" customFormat="1" x14ac:dyDescent="0.25"/>
    <row r="605" s="3" customFormat="1" x14ac:dyDescent="0.25"/>
    <row r="606" s="3" customFormat="1" x14ac:dyDescent="0.25"/>
    <row r="607" s="3" customFormat="1" x14ac:dyDescent="0.25"/>
    <row r="608" s="3" customFormat="1" x14ac:dyDescent="0.25"/>
    <row r="609" s="3" customFormat="1" x14ac:dyDescent="0.25"/>
    <row r="610" s="3" customFormat="1" x14ac:dyDescent="0.25"/>
    <row r="611" s="3" customFormat="1" x14ac:dyDescent="0.25"/>
    <row r="612" s="3" customFormat="1" x14ac:dyDescent="0.25"/>
    <row r="613" s="3" customFormat="1" x14ac:dyDescent="0.25"/>
    <row r="614" s="3" customFormat="1" x14ac:dyDescent="0.25"/>
    <row r="615" s="3" customFormat="1" x14ac:dyDescent="0.25"/>
    <row r="616" s="3" customFormat="1" x14ac:dyDescent="0.25"/>
    <row r="617" s="3" customFormat="1" x14ac:dyDescent="0.25"/>
    <row r="618" s="3" customFormat="1" x14ac:dyDescent="0.25"/>
    <row r="619" s="3" customFormat="1" x14ac:dyDescent="0.25"/>
    <row r="620" s="3" customFormat="1" x14ac:dyDescent="0.25"/>
    <row r="621" s="3" customFormat="1" x14ac:dyDescent="0.25"/>
    <row r="622" s="3" customFormat="1" x14ac:dyDescent="0.25"/>
    <row r="623" s="3" customFormat="1" x14ac:dyDescent="0.25"/>
    <row r="624" s="3" customFormat="1" x14ac:dyDescent="0.25"/>
    <row r="625" s="3" customFormat="1" x14ac:dyDescent="0.25"/>
    <row r="626" s="3" customFormat="1" x14ac:dyDescent="0.25"/>
    <row r="627" s="3" customFormat="1" x14ac:dyDescent="0.25"/>
    <row r="628" s="3" customFormat="1" x14ac:dyDescent="0.25"/>
    <row r="629" s="3" customFormat="1" x14ac:dyDescent="0.25"/>
    <row r="630" s="3" customFormat="1" x14ac:dyDescent="0.25"/>
    <row r="631" s="3" customFormat="1" x14ac:dyDescent="0.25"/>
    <row r="632" s="3" customFormat="1" x14ac:dyDescent="0.25"/>
    <row r="633" s="3" customFormat="1" x14ac:dyDescent="0.25"/>
    <row r="634" s="3" customFormat="1" x14ac:dyDescent="0.25"/>
    <row r="635" s="3" customFormat="1" x14ac:dyDescent="0.25"/>
    <row r="636" s="3" customFormat="1" x14ac:dyDescent="0.25"/>
    <row r="637" s="3" customFormat="1" x14ac:dyDescent="0.25"/>
    <row r="638" s="3" customFormat="1" x14ac:dyDescent="0.25"/>
    <row r="639" s="3" customFormat="1" x14ac:dyDescent="0.25"/>
    <row r="640" s="3" customFormat="1" x14ac:dyDescent="0.25"/>
    <row r="641" s="3" customFormat="1" x14ac:dyDescent="0.25"/>
    <row r="642" s="3" customFormat="1" x14ac:dyDescent="0.25"/>
    <row r="643" s="3" customFormat="1" x14ac:dyDescent="0.25"/>
    <row r="644" s="3" customFormat="1" x14ac:dyDescent="0.25"/>
    <row r="645" s="3" customFormat="1" x14ac:dyDescent="0.25"/>
    <row r="646" s="3" customFormat="1" x14ac:dyDescent="0.25"/>
    <row r="647" s="3" customFormat="1" x14ac:dyDescent="0.25"/>
    <row r="648" s="3" customFormat="1" x14ac:dyDescent="0.25"/>
    <row r="649" s="3" customFormat="1" x14ac:dyDescent="0.25"/>
    <row r="650" s="3" customFormat="1" x14ac:dyDescent="0.25"/>
    <row r="651" s="3" customFormat="1" x14ac:dyDescent="0.25"/>
    <row r="652" s="3" customFormat="1" x14ac:dyDescent="0.25"/>
    <row r="653" s="3" customFormat="1" x14ac:dyDescent="0.25"/>
    <row r="654" s="3" customFormat="1" x14ac:dyDescent="0.25"/>
    <row r="655" s="3" customFormat="1" x14ac:dyDescent="0.25"/>
    <row r="656" s="3" customFormat="1" x14ac:dyDescent="0.25"/>
    <row r="657" s="3" customFormat="1" x14ac:dyDescent="0.25"/>
    <row r="658" s="3" customFormat="1" x14ac:dyDescent="0.25"/>
    <row r="659" s="3" customFormat="1" x14ac:dyDescent="0.25"/>
    <row r="660" s="3" customFormat="1" x14ac:dyDescent="0.25"/>
    <row r="661" s="3" customFormat="1" x14ac:dyDescent="0.25"/>
    <row r="662" s="3" customFormat="1" x14ac:dyDescent="0.25"/>
    <row r="663" s="3" customFormat="1" x14ac:dyDescent="0.25"/>
    <row r="664" s="3" customFormat="1" x14ac:dyDescent="0.25"/>
    <row r="665" s="3" customFormat="1" x14ac:dyDescent="0.25"/>
    <row r="666" s="3" customFormat="1" x14ac:dyDescent="0.25"/>
    <row r="667" s="3" customFormat="1" x14ac:dyDescent="0.25"/>
    <row r="668" s="3" customFormat="1" x14ac:dyDescent="0.25"/>
    <row r="669" s="3" customFormat="1" x14ac:dyDescent="0.25"/>
    <row r="670" s="3" customFormat="1" x14ac:dyDescent="0.25"/>
    <row r="671" s="3" customFormat="1" x14ac:dyDescent="0.25"/>
    <row r="672" s="3" customFormat="1" x14ac:dyDescent="0.25"/>
    <row r="673" s="3" customFormat="1" x14ac:dyDescent="0.25"/>
    <row r="674" s="3" customFormat="1" x14ac:dyDescent="0.25"/>
    <row r="675" s="3" customFormat="1" x14ac:dyDescent="0.25"/>
    <row r="676" s="3" customFormat="1" x14ac:dyDescent="0.25"/>
    <row r="677" s="3" customFormat="1" x14ac:dyDescent="0.25"/>
    <row r="678" s="3" customFormat="1" x14ac:dyDescent="0.25"/>
    <row r="679" s="3" customFormat="1" x14ac:dyDescent="0.25"/>
    <row r="680" s="3" customFormat="1" x14ac:dyDescent="0.25"/>
    <row r="681" s="3" customFormat="1" x14ac:dyDescent="0.25"/>
    <row r="682" s="3" customFormat="1" x14ac:dyDescent="0.25"/>
    <row r="683" s="3" customFormat="1" x14ac:dyDescent="0.25"/>
    <row r="684" s="3" customFormat="1" x14ac:dyDescent="0.25"/>
    <row r="685" s="3" customFormat="1" x14ac:dyDescent="0.25"/>
    <row r="686" s="3" customFormat="1" x14ac:dyDescent="0.25"/>
    <row r="687" s="3" customFormat="1" x14ac:dyDescent="0.25"/>
    <row r="688" s="3" customFormat="1" x14ac:dyDescent="0.25"/>
    <row r="689" s="3" customFormat="1" x14ac:dyDescent="0.25"/>
    <row r="690" s="3" customFormat="1" x14ac:dyDescent="0.25"/>
    <row r="691" s="3" customFormat="1" x14ac:dyDescent="0.25"/>
    <row r="692" s="3" customFormat="1" x14ac:dyDescent="0.25"/>
    <row r="693" s="3" customFormat="1" x14ac:dyDescent="0.25"/>
    <row r="694" s="3" customFormat="1" x14ac:dyDescent="0.25"/>
    <row r="695" s="3" customFormat="1" x14ac:dyDescent="0.25"/>
    <row r="696" s="3" customFormat="1" x14ac:dyDescent="0.25"/>
    <row r="697" s="3" customFormat="1" x14ac:dyDescent="0.25"/>
    <row r="698" s="3" customFormat="1" x14ac:dyDescent="0.25"/>
    <row r="699" s="3" customFormat="1" x14ac:dyDescent="0.25"/>
    <row r="700" s="3" customFormat="1" x14ac:dyDescent="0.25"/>
    <row r="701" s="3" customFormat="1" x14ac:dyDescent="0.25"/>
    <row r="702" s="3" customFormat="1" x14ac:dyDescent="0.25"/>
    <row r="703" s="3" customFormat="1" x14ac:dyDescent="0.25"/>
    <row r="704" s="3" customFormat="1" x14ac:dyDescent="0.25"/>
    <row r="705" s="3" customFormat="1" x14ac:dyDescent="0.25"/>
    <row r="706" s="3" customFormat="1" x14ac:dyDescent="0.25"/>
    <row r="707" s="3" customFormat="1" x14ac:dyDescent="0.25"/>
    <row r="708" s="3" customFormat="1" x14ac:dyDescent="0.25"/>
    <row r="709" s="3" customFormat="1" x14ac:dyDescent="0.25"/>
    <row r="710" s="3" customFormat="1" x14ac:dyDescent="0.25"/>
    <row r="711" s="3" customFormat="1" x14ac:dyDescent="0.25"/>
    <row r="712" s="3" customFormat="1" x14ac:dyDescent="0.25"/>
    <row r="713" s="3" customFormat="1" x14ac:dyDescent="0.25"/>
    <row r="714" s="3" customFormat="1" x14ac:dyDescent="0.25"/>
    <row r="715" s="3" customFormat="1" x14ac:dyDescent="0.25"/>
    <row r="716" s="3" customFormat="1" x14ac:dyDescent="0.25"/>
    <row r="717" s="3" customFormat="1" x14ac:dyDescent="0.25"/>
    <row r="718" s="3" customFormat="1" x14ac:dyDescent="0.25"/>
    <row r="719" s="3" customFormat="1" x14ac:dyDescent="0.25"/>
    <row r="720" s="3" customFormat="1" x14ac:dyDescent="0.25"/>
    <row r="721" s="3" customFormat="1" x14ac:dyDescent="0.25"/>
    <row r="722" s="3" customFormat="1" x14ac:dyDescent="0.25"/>
    <row r="723" s="3" customFormat="1" x14ac:dyDescent="0.25"/>
    <row r="724" s="3" customFormat="1" x14ac:dyDescent="0.25"/>
    <row r="725" s="3" customFormat="1" x14ac:dyDescent="0.25"/>
    <row r="726" s="3" customFormat="1" x14ac:dyDescent="0.25"/>
    <row r="727" s="3" customFormat="1" x14ac:dyDescent="0.25"/>
    <row r="728" s="3" customFormat="1" x14ac:dyDescent="0.25"/>
    <row r="729" s="3" customFormat="1" x14ac:dyDescent="0.25"/>
    <row r="730" s="3" customFormat="1" x14ac:dyDescent="0.25"/>
    <row r="731" s="3" customFormat="1" x14ac:dyDescent="0.25"/>
    <row r="732" s="3" customFormat="1" x14ac:dyDescent="0.25"/>
    <row r="733" s="3" customFormat="1" x14ac:dyDescent="0.25"/>
    <row r="734" s="3" customFormat="1" x14ac:dyDescent="0.25"/>
    <row r="735" s="3" customFormat="1" x14ac:dyDescent="0.25"/>
    <row r="736" s="3" customFormat="1" x14ac:dyDescent="0.25"/>
    <row r="737" s="3" customFormat="1" x14ac:dyDescent="0.25"/>
    <row r="738" s="3" customFormat="1" x14ac:dyDescent="0.25"/>
    <row r="739" s="3" customFormat="1" x14ac:dyDescent="0.25"/>
    <row r="740" s="3" customFormat="1" x14ac:dyDescent="0.25"/>
    <row r="741" s="3" customFormat="1" x14ac:dyDescent="0.25"/>
    <row r="742" s="3" customFormat="1" x14ac:dyDescent="0.25"/>
    <row r="743" s="3" customFormat="1" x14ac:dyDescent="0.25"/>
    <row r="744" s="3" customFormat="1" x14ac:dyDescent="0.25"/>
    <row r="745" s="3" customFormat="1" x14ac:dyDescent="0.25"/>
    <row r="746" s="3" customFormat="1" x14ac:dyDescent="0.25"/>
    <row r="747" s="3" customFormat="1" x14ac:dyDescent="0.25"/>
    <row r="748" s="3" customFormat="1" x14ac:dyDescent="0.25"/>
    <row r="749" s="3" customFormat="1" x14ac:dyDescent="0.25"/>
    <row r="750" s="3" customFormat="1" x14ac:dyDescent="0.25"/>
    <row r="751" s="3" customFormat="1" x14ac:dyDescent="0.25"/>
    <row r="752" s="3" customFormat="1" x14ac:dyDescent="0.25"/>
    <row r="753" s="3" customFormat="1" x14ac:dyDescent="0.25"/>
    <row r="754" s="3" customFormat="1" x14ac:dyDescent="0.25"/>
    <row r="755" s="3" customFormat="1" x14ac:dyDescent="0.25"/>
    <row r="756" s="3" customFormat="1" x14ac:dyDescent="0.25"/>
    <row r="757" s="3" customFormat="1" x14ac:dyDescent="0.25"/>
    <row r="758" s="3" customFormat="1" x14ac:dyDescent="0.25"/>
    <row r="759" s="3" customFormat="1" x14ac:dyDescent="0.25"/>
    <row r="760" s="3" customFormat="1" x14ac:dyDescent="0.25"/>
    <row r="761" s="3" customFormat="1" x14ac:dyDescent="0.25"/>
    <row r="762" s="3" customFormat="1" x14ac:dyDescent="0.25"/>
    <row r="763" s="3" customFormat="1" x14ac:dyDescent="0.25"/>
    <row r="764" s="3" customFormat="1" x14ac:dyDescent="0.25"/>
    <row r="765" s="3" customFormat="1" x14ac:dyDescent="0.25"/>
    <row r="766" s="3" customFormat="1" x14ac:dyDescent="0.25"/>
    <row r="767" s="3" customFormat="1" x14ac:dyDescent="0.25"/>
    <row r="768" s="3" customFormat="1" x14ac:dyDescent="0.25"/>
    <row r="769" s="3" customFormat="1" x14ac:dyDescent="0.25"/>
    <row r="770" s="3" customFormat="1" x14ac:dyDescent="0.25"/>
    <row r="771" s="3" customFormat="1" x14ac:dyDescent="0.25"/>
    <row r="772" s="3" customFormat="1" x14ac:dyDescent="0.25"/>
    <row r="773" s="3" customFormat="1" x14ac:dyDescent="0.25"/>
    <row r="774" s="3" customFormat="1" x14ac:dyDescent="0.25"/>
    <row r="775" s="3" customFormat="1" x14ac:dyDescent="0.25"/>
    <row r="776" s="3" customFormat="1" x14ac:dyDescent="0.25"/>
    <row r="777" s="3" customFormat="1" x14ac:dyDescent="0.25"/>
    <row r="778" s="3" customFormat="1" x14ac:dyDescent="0.25"/>
    <row r="779" s="3" customFormat="1" x14ac:dyDescent="0.25"/>
    <row r="780" s="3" customFormat="1" x14ac:dyDescent="0.25"/>
    <row r="781" s="3" customFormat="1" x14ac:dyDescent="0.25"/>
    <row r="782" s="3" customFormat="1" x14ac:dyDescent="0.25"/>
    <row r="783" s="3" customFormat="1" x14ac:dyDescent="0.25"/>
    <row r="784" s="3" customFormat="1" x14ac:dyDescent="0.25"/>
    <row r="785" s="3" customFormat="1" x14ac:dyDescent="0.25"/>
    <row r="786" s="3" customFormat="1" x14ac:dyDescent="0.25"/>
    <row r="787" s="3" customFormat="1" x14ac:dyDescent="0.25"/>
    <row r="788" s="3" customFormat="1" x14ac:dyDescent="0.25"/>
    <row r="789" s="3" customFormat="1" x14ac:dyDescent="0.25"/>
    <row r="790" s="3" customFormat="1" x14ac:dyDescent="0.25"/>
    <row r="791" s="3" customFormat="1" x14ac:dyDescent="0.25"/>
    <row r="792" s="3" customFormat="1" x14ac:dyDescent="0.25"/>
    <row r="793" s="3" customFormat="1" x14ac:dyDescent="0.25"/>
    <row r="794" s="3" customFormat="1" x14ac:dyDescent="0.25"/>
    <row r="795" s="3" customFormat="1" x14ac:dyDescent="0.25"/>
    <row r="796" s="3" customFormat="1" x14ac:dyDescent="0.25"/>
    <row r="797" s="3" customFormat="1" x14ac:dyDescent="0.25"/>
    <row r="798" s="3" customFormat="1" x14ac:dyDescent="0.25"/>
    <row r="799" s="3" customFormat="1" x14ac:dyDescent="0.25"/>
    <row r="800" s="3" customFormat="1" x14ac:dyDescent="0.25"/>
    <row r="801" s="3" customFormat="1" x14ac:dyDescent="0.25"/>
    <row r="802" s="3" customFormat="1" x14ac:dyDescent="0.25"/>
    <row r="803" s="3" customFormat="1" x14ac:dyDescent="0.25"/>
    <row r="804" s="3" customFormat="1" x14ac:dyDescent="0.25"/>
    <row r="805" s="3" customFormat="1" x14ac:dyDescent="0.25"/>
    <row r="806" s="3" customFormat="1" x14ac:dyDescent="0.25"/>
    <row r="807" s="3" customFormat="1" x14ac:dyDescent="0.25"/>
    <row r="808" s="3" customFormat="1" x14ac:dyDescent="0.25"/>
    <row r="809" s="3" customFormat="1" x14ac:dyDescent="0.25"/>
    <row r="810" s="3" customFormat="1" x14ac:dyDescent="0.25"/>
    <row r="811" s="3" customFormat="1" x14ac:dyDescent="0.25"/>
    <row r="812" s="3" customFormat="1" x14ac:dyDescent="0.25"/>
    <row r="813" s="3" customFormat="1" x14ac:dyDescent="0.25"/>
    <row r="814" s="3" customFormat="1" x14ac:dyDescent="0.25"/>
    <row r="815" s="3" customFormat="1" x14ac:dyDescent="0.25"/>
    <row r="816" s="3" customFormat="1" x14ac:dyDescent="0.25"/>
    <row r="817" s="3" customFormat="1" x14ac:dyDescent="0.25"/>
    <row r="818" s="3" customFormat="1" x14ac:dyDescent="0.25"/>
    <row r="819" s="3" customFormat="1" x14ac:dyDescent="0.25"/>
    <row r="820" s="3" customFormat="1" x14ac:dyDescent="0.25"/>
    <row r="821" s="3" customFormat="1" x14ac:dyDescent="0.25"/>
    <row r="822" s="3" customFormat="1" x14ac:dyDescent="0.25"/>
    <row r="823" s="3" customFormat="1" x14ac:dyDescent="0.25"/>
    <row r="824" s="3" customFormat="1" x14ac:dyDescent="0.25"/>
    <row r="825" s="3" customFormat="1" x14ac:dyDescent="0.25"/>
    <row r="826" s="3" customFormat="1" x14ac:dyDescent="0.25"/>
    <row r="827" s="3" customFormat="1" x14ac:dyDescent="0.25"/>
    <row r="828" s="3" customFormat="1" x14ac:dyDescent="0.25"/>
    <row r="829" s="3" customFormat="1" x14ac:dyDescent="0.25"/>
    <row r="830" s="3" customFormat="1" x14ac:dyDescent="0.25"/>
    <row r="831" s="3" customFormat="1" x14ac:dyDescent="0.25"/>
    <row r="832" s="3" customFormat="1" x14ac:dyDescent="0.25"/>
    <row r="833" s="3" customFormat="1" x14ac:dyDescent="0.25"/>
    <row r="834" s="3" customFormat="1" x14ac:dyDescent="0.25"/>
    <row r="835" s="3" customFormat="1" x14ac:dyDescent="0.25"/>
    <row r="836" s="3" customFormat="1" x14ac:dyDescent="0.25"/>
    <row r="837" s="3" customFormat="1" x14ac:dyDescent="0.25"/>
    <row r="838" s="3" customFormat="1" x14ac:dyDescent="0.25"/>
    <row r="839" s="3" customFormat="1" x14ac:dyDescent="0.25"/>
    <row r="840" s="3" customFormat="1" x14ac:dyDescent="0.25"/>
    <row r="841" s="3" customFormat="1" x14ac:dyDescent="0.25"/>
    <row r="842" s="3" customFormat="1" x14ac:dyDescent="0.25"/>
    <row r="843" s="3" customFormat="1" x14ac:dyDescent="0.25"/>
    <row r="844" s="3" customFormat="1" x14ac:dyDescent="0.25"/>
    <row r="845" s="3" customFormat="1" x14ac:dyDescent="0.25"/>
    <row r="846" s="3" customFormat="1" x14ac:dyDescent="0.25"/>
    <row r="847" s="3" customFormat="1" x14ac:dyDescent="0.25"/>
    <row r="848" s="3" customFormat="1" x14ac:dyDescent="0.25"/>
    <row r="849" s="3" customFormat="1" x14ac:dyDescent="0.25"/>
    <row r="850" s="3" customFormat="1" x14ac:dyDescent="0.25"/>
    <row r="851" s="3" customFormat="1" x14ac:dyDescent="0.25"/>
    <row r="852" s="3" customFormat="1" x14ac:dyDescent="0.25"/>
    <row r="853" s="3" customFormat="1" x14ac:dyDescent="0.25"/>
    <row r="854" s="3" customFormat="1" x14ac:dyDescent="0.25"/>
    <row r="855" s="3" customFormat="1" x14ac:dyDescent="0.25"/>
    <row r="856" s="3" customFormat="1" x14ac:dyDescent="0.25"/>
    <row r="857" s="3" customFormat="1" x14ac:dyDescent="0.25"/>
    <row r="858" s="3" customFormat="1" x14ac:dyDescent="0.25"/>
    <row r="859" s="3" customFormat="1" x14ac:dyDescent="0.25"/>
    <row r="860" s="3" customFormat="1" x14ac:dyDescent="0.25"/>
    <row r="861" s="3" customFormat="1" x14ac:dyDescent="0.25"/>
    <row r="862" s="3" customFormat="1" x14ac:dyDescent="0.25"/>
    <row r="863" s="3" customFormat="1" x14ac:dyDescent="0.25"/>
    <row r="864" s="3" customFormat="1" x14ac:dyDescent="0.25"/>
    <row r="865" s="3" customFormat="1" x14ac:dyDescent="0.25"/>
    <row r="866" s="3" customFormat="1" x14ac:dyDescent="0.25"/>
    <row r="867" s="3" customFormat="1" x14ac:dyDescent="0.25"/>
    <row r="868" s="3" customFormat="1" x14ac:dyDescent="0.25"/>
    <row r="869" s="3" customFormat="1" x14ac:dyDescent="0.25"/>
    <row r="870" s="3" customFormat="1" x14ac:dyDescent="0.25"/>
    <row r="871" s="3" customFormat="1" x14ac:dyDescent="0.25"/>
    <row r="872" s="3" customFormat="1" x14ac:dyDescent="0.25"/>
    <row r="873" s="3" customFormat="1" x14ac:dyDescent="0.25"/>
    <row r="874" s="3" customFormat="1" x14ac:dyDescent="0.25"/>
    <row r="875" s="3" customFormat="1" x14ac:dyDescent="0.25"/>
    <row r="876" s="3" customFormat="1" x14ac:dyDescent="0.25"/>
    <row r="877" s="3" customFormat="1" x14ac:dyDescent="0.25"/>
    <row r="878" s="3" customFormat="1" x14ac:dyDescent="0.25"/>
    <row r="879" s="3" customFormat="1" x14ac:dyDescent="0.25"/>
    <row r="880" s="3" customFormat="1" x14ac:dyDescent="0.25"/>
    <row r="881" s="3" customFormat="1" x14ac:dyDescent="0.25"/>
    <row r="882" s="3" customFormat="1" x14ac:dyDescent="0.25"/>
    <row r="883" s="3" customFormat="1" x14ac:dyDescent="0.25"/>
    <row r="884" s="3" customFormat="1" x14ac:dyDescent="0.25"/>
    <row r="885" s="3" customFormat="1" x14ac:dyDescent="0.25"/>
    <row r="886" s="3" customFormat="1" x14ac:dyDescent="0.25"/>
    <row r="887" s="3" customFormat="1" x14ac:dyDescent="0.25"/>
    <row r="888" s="3" customFormat="1" x14ac:dyDescent="0.25"/>
    <row r="889" s="3" customFormat="1" x14ac:dyDescent="0.25"/>
    <row r="890" s="3" customFormat="1" x14ac:dyDescent="0.25"/>
    <row r="891" s="3" customFormat="1" x14ac:dyDescent="0.25"/>
    <row r="892" s="3" customFormat="1" x14ac:dyDescent="0.25"/>
    <row r="893" s="3" customFormat="1" x14ac:dyDescent="0.25"/>
    <row r="894" s="3" customFormat="1" x14ac:dyDescent="0.25"/>
    <row r="895" s="3" customFormat="1" x14ac:dyDescent="0.25"/>
    <row r="896" s="3" customFormat="1" x14ac:dyDescent="0.25"/>
    <row r="897" s="3" customFormat="1" x14ac:dyDescent="0.25"/>
    <row r="898" s="3" customFormat="1" x14ac:dyDescent="0.25"/>
    <row r="899" s="3" customFormat="1" x14ac:dyDescent="0.25"/>
    <row r="900" s="3" customFormat="1" x14ac:dyDescent="0.25"/>
    <row r="901" s="3" customFormat="1" x14ac:dyDescent="0.25"/>
    <row r="902" s="3" customFormat="1" x14ac:dyDescent="0.25"/>
    <row r="903" s="3" customFormat="1" x14ac:dyDescent="0.25"/>
    <row r="904" s="3" customFormat="1" x14ac:dyDescent="0.25"/>
    <row r="905" s="3" customFormat="1" x14ac:dyDescent="0.25"/>
    <row r="906" s="3" customFormat="1" x14ac:dyDescent="0.25"/>
    <row r="907" s="3" customFormat="1" x14ac:dyDescent="0.25"/>
    <row r="908" s="3" customFormat="1" x14ac:dyDescent="0.25"/>
    <row r="909" s="3" customFormat="1" x14ac:dyDescent="0.25"/>
    <row r="910" s="3" customFormat="1" x14ac:dyDescent="0.25"/>
    <row r="911" s="3" customFormat="1" x14ac:dyDescent="0.25"/>
    <row r="912" s="3" customFormat="1" x14ac:dyDescent="0.25"/>
    <row r="913" s="3" customFormat="1" x14ac:dyDescent="0.25"/>
    <row r="914" s="3" customFormat="1" x14ac:dyDescent="0.25"/>
    <row r="915" s="3" customFormat="1" x14ac:dyDescent="0.25"/>
    <row r="916" s="3" customFormat="1" x14ac:dyDescent="0.25"/>
    <row r="917" s="3" customFormat="1" x14ac:dyDescent="0.25"/>
    <row r="918" s="3" customFormat="1" x14ac:dyDescent="0.25"/>
    <row r="919" s="3" customFormat="1" x14ac:dyDescent="0.25"/>
    <row r="920" s="3" customFormat="1" x14ac:dyDescent="0.25"/>
    <row r="921" s="3" customFormat="1" x14ac:dyDescent="0.25"/>
    <row r="922" s="3" customFormat="1" x14ac:dyDescent="0.25"/>
    <row r="923" s="3" customFormat="1" x14ac:dyDescent="0.25"/>
    <row r="924" s="3" customFormat="1" x14ac:dyDescent="0.25"/>
    <row r="925" s="3" customFormat="1" x14ac:dyDescent="0.25"/>
    <row r="926" s="3" customFormat="1" x14ac:dyDescent="0.25"/>
    <row r="927" s="3" customFormat="1" x14ac:dyDescent="0.25"/>
    <row r="928" s="3" customFormat="1" x14ac:dyDescent="0.25"/>
    <row r="929" s="3" customFormat="1" x14ac:dyDescent="0.25"/>
    <row r="930" s="3" customFormat="1" x14ac:dyDescent="0.25"/>
    <row r="931" s="3" customFormat="1" x14ac:dyDescent="0.25"/>
    <row r="932" s="3" customFormat="1" x14ac:dyDescent="0.25"/>
    <row r="933" s="3" customFormat="1" x14ac:dyDescent="0.25"/>
    <row r="934" s="3" customFormat="1" x14ac:dyDescent="0.25"/>
    <row r="935" s="3" customFormat="1" x14ac:dyDescent="0.25"/>
    <row r="936" s="3" customFormat="1" x14ac:dyDescent="0.25"/>
    <row r="937" s="3" customFormat="1" x14ac:dyDescent="0.25"/>
    <row r="938" s="3" customFormat="1" x14ac:dyDescent="0.25"/>
    <row r="939" s="3" customFormat="1" x14ac:dyDescent="0.25"/>
    <row r="940" s="3" customFormat="1" x14ac:dyDescent="0.25"/>
    <row r="941" s="3" customFormat="1" x14ac:dyDescent="0.25"/>
    <row r="942" s="3" customFormat="1" x14ac:dyDescent="0.25"/>
    <row r="943" s="3" customFormat="1" x14ac:dyDescent="0.25"/>
    <row r="944" s="3" customFormat="1" x14ac:dyDescent="0.25"/>
    <row r="945" s="3" customFormat="1" x14ac:dyDescent="0.25"/>
    <row r="946" s="3" customFormat="1" x14ac:dyDescent="0.25"/>
    <row r="947" s="3" customFormat="1" x14ac:dyDescent="0.25"/>
    <row r="948" s="3" customFormat="1" x14ac:dyDescent="0.25"/>
    <row r="949" s="3" customFormat="1" x14ac:dyDescent="0.25"/>
    <row r="950" s="3" customFormat="1" x14ac:dyDescent="0.25"/>
    <row r="951" s="3" customFormat="1" x14ac:dyDescent="0.25"/>
    <row r="952" s="3" customFormat="1" x14ac:dyDescent="0.25"/>
    <row r="953" s="3" customFormat="1" x14ac:dyDescent="0.25"/>
    <row r="954" s="3" customFormat="1" x14ac:dyDescent="0.25"/>
    <row r="955" s="3" customFormat="1" x14ac:dyDescent="0.25"/>
    <row r="956" s="3" customFormat="1" x14ac:dyDescent="0.25"/>
    <row r="957" s="3" customFormat="1" x14ac:dyDescent="0.25"/>
    <row r="958" s="3" customFormat="1" x14ac:dyDescent="0.25"/>
    <row r="959" s="3" customFormat="1" x14ac:dyDescent="0.25"/>
    <row r="960" s="3" customFormat="1" x14ac:dyDescent="0.25"/>
    <row r="961" s="3" customFormat="1" x14ac:dyDescent="0.25"/>
    <row r="962" s="3" customFormat="1" x14ac:dyDescent="0.25"/>
    <row r="963" s="3" customFormat="1" x14ac:dyDescent="0.25"/>
    <row r="964" s="3" customFormat="1" x14ac:dyDescent="0.25"/>
    <row r="965" s="3" customFormat="1" x14ac:dyDescent="0.25"/>
    <row r="966" s="3" customFormat="1" x14ac:dyDescent="0.25"/>
    <row r="967" s="3" customFormat="1" x14ac:dyDescent="0.25"/>
    <row r="968" s="3" customFormat="1" x14ac:dyDescent="0.25"/>
    <row r="969" s="3" customFormat="1" x14ac:dyDescent="0.25"/>
    <row r="970" s="3" customFormat="1" x14ac:dyDescent="0.25"/>
    <row r="971" s="3" customFormat="1" x14ac:dyDescent="0.25"/>
    <row r="972" s="3" customFormat="1" x14ac:dyDescent="0.25"/>
    <row r="973" s="3" customFormat="1" x14ac:dyDescent="0.25"/>
    <row r="974" s="3" customFormat="1" x14ac:dyDescent="0.25"/>
    <row r="975" s="3" customFormat="1" x14ac:dyDescent="0.25"/>
    <row r="976" s="3" customFormat="1" x14ac:dyDescent="0.25"/>
    <row r="977" s="3" customFormat="1" x14ac:dyDescent="0.25"/>
    <row r="978" s="3" customFormat="1" x14ac:dyDescent="0.25"/>
    <row r="979" s="3" customFormat="1" x14ac:dyDescent="0.25"/>
    <row r="980" s="3" customFormat="1" x14ac:dyDescent="0.25"/>
    <row r="981" s="3" customFormat="1" x14ac:dyDescent="0.25"/>
    <row r="982" s="3" customFormat="1" x14ac:dyDescent="0.25"/>
    <row r="983" s="3" customFormat="1" x14ac:dyDescent="0.25"/>
    <row r="984" s="3" customFormat="1" x14ac:dyDescent="0.25"/>
  </sheetData>
  <mergeCells count="49">
    <mergeCell ref="O2:S2"/>
    <mergeCell ref="A1:C1"/>
    <mergeCell ref="B7:F7"/>
    <mergeCell ref="B8:F8"/>
    <mergeCell ref="B9:F9"/>
    <mergeCell ref="A5:B5"/>
    <mergeCell ref="E2:M2"/>
    <mergeCell ref="E3:M3"/>
    <mergeCell ref="E4:M4"/>
    <mergeCell ref="E5:M5"/>
    <mergeCell ref="U8:X8"/>
    <mergeCell ref="U9:X9"/>
    <mergeCell ref="U10:X10"/>
    <mergeCell ref="U11:X11"/>
    <mergeCell ref="U12:X12"/>
    <mergeCell ref="O3:S5"/>
    <mergeCell ref="U4:X4"/>
    <mergeCell ref="U5:X5"/>
    <mergeCell ref="U6:X6"/>
    <mergeCell ref="U7:X7"/>
    <mergeCell ref="U14:X14"/>
    <mergeCell ref="U15:X15"/>
    <mergeCell ref="U16:X16"/>
    <mergeCell ref="U17:X17"/>
    <mergeCell ref="B10:F10"/>
    <mergeCell ref="B11:F11"/>
    <mergeCell ref="B12:F12"/>
    <mergeCell ref="U37:X37"/>
    <mergeCell ref="U28:X28"/>
    <mergeCell ref="U29:X29"/>
    <mergeCell ref="U30:X30"/>
    <mergeCell ref="U31:X31"/>
    <mergeCell ref="U32:X32"/>
    <mergeCell ref="U2:X2"/>
    <mergeCell ref="U33:X33"/>
    <mergeCell ref="U34:X34"/>
    <mergeCell ref="U35:X35"/>
    <mergeCell ref="U36:X36"/>
    <mergeCell ref="U23:X23"/>
    <mergeCell ref="U24:X24"/>
    <mergeCell ref="U25:X25"/>
    <mergeCell ref="U26:X26"/>
    <mergeCell ref="U27:X27"/>
    <mergeCell ref="U18:X18"/>
    <mergeCell ref="U19:X19"/>
    <mergeCell ref="U20:X20"/>
    <mergeCell ref="U21:X21"/>
    <mergeCell ref="U22:X22"/>
    <mergeCell ref="U13:X1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924EC-52D3-463E-96E2-4F06D3907AA6}">
  <dimension ref="A1:C61"/>
  <sheetViews>
    <sheetView workbookViewId="0">
      <selection activeCell="B4" sqref="B4"/>
    </sheetView>
  </sheetViews>
  <sheetFormatPr defaultRowHeight="15" x14ac:dyDescent="0.25"/>
  <sheetData>
    <row r="1" spans="1:3" x14ac:dyDescent="0.25">
      <c r="A1" t="s">
        <v>0</v>
      </c>
      <c r="B1" t="s">
        <v>1</v>
      </c>
      <c r="C1" t="s">
        <v>4</v>
      </c>
    </row>
    <row r="2" spans="1:3" x14ac:dyDescent="0.25">
      <c r="A2">
        <v>1</v>
      </c>
      <c r="B2">
        <v>0</v>
      </c>
      <c r="C2">
        <v>101</v>
      </c>
    </row>
    <row r="3" spans="1:3" x14ac:dyDescent="0.25">
      <c r="A3">
        <v>2</v>
      </c>
      <c r="B3">
        <v>2</v>
      </c>
      <c r="C3">
        <v>111</v>
      </c>
    </row>
    <row r="4" spans="1:3" x14ac:dyDescent="0.25">
      <c r="A4">
        <v>3</v>
      </c>
      <c r="B4">
        <v>4</v>
      </c>
      <c r="C4">
        <v>118</v>
      </c>
    </row>
    <row r="5" spans="1:3" x14ac:dyDescent="0.25">
      <c r="A5">
        <v>4</v>
      </c>
      <c r="B5">
        <v>6</v>
      </c>
      <c r="C5">
        <v>120</v>
      </c>
    </row>
    <row r="6" spans="1:3" x14ac:dyDescent="0.25">
      <c r="A6">
        <v>5</v>
      </c>
      <c r="B6">
        <v>8</v>
      </c>
      <c r="C6">
        <v>122</v>
      </c>
    </row>
    <row r="7" spans="1:3" x14ac:dyDescent="0.25">
      <c r="A7">
        <v>6</v>
      </c>
      <c r="B7">
        <v>10</v>
      </c>
      <c r="C7">
        <v>136</v>
      </c>
    </row>
    <row r="8" spans="1:3" x14ac:dyDescent="0.25">
      <c r="A8">
        <v>7</v>
      </c>
      <c r="B8">
        <v>12</v>
      </c>
      <c r="C8">
        <v>153</v>
      </c>
    </row>
    <row r="9" spans="1:3" x14ac:dyDescent="0.25">
      <c r="A9">
        <v>8</v>
      </c>
      <c r="B9">
        <v>14</v>
      </c>
      <c r="C9">
        <v>168</v>
      </c>
    </row>
    <row r="10" spans="1:3" x14ac:dyDescent="0.25">
      <c r="A10">
        <v>9</v>
      </c>
      <c r="B10">
        <v>16</v>
      </c>
      <c r="C10">
        <v>184</v>
      </c>
    </row>
    <row r="11" spans="1:3" x14ac:dyDescent="0.25">
      <c r="A11">
        <v>10</v>
      </c>
      <c r="B11">
        <v>18</v>
      </c>
      <c r="C11">
        <v>200</v>
      </c>
    </row>
    <row r="12" spans="1:3" x14ac:dyDescent="0.25">
      <c r="A12">
        <v>11</v>
      </c>
      <c r="B12">
        <v>20</v>
      </c>
      <c r="C12">
        <v>219</v>
      </c>
    </row>
    <row r="13" spans="1:3" x14ac:dyDescent="0.25">
      <c r="A13">
        <v>12</v>
      </c>
      <c r="B13">
        <v>22</v>
      </c>
      <c r="C13">
        <v>225</v>
      </c>
    </row>
    <row r="14" spans="1:3" x14ac:dyDescent="0.25">
      <c r="A14">
        <v>13</v>
      </c>
      <c r="B14">
        <v>24</v>
      </c>
      <c r="C14">
        <v>244</v>
      </c>
    </row>
    <row r="15" spans="1:3" x14ac:dyDescent="0.25">
      <c r="A15">
        <v>14</v>
      </c>
      <c r="B15">
        <v>27</v>
      </c>
      <c r="C15">
        <v>268</v>
      </c>
    </row>
    <row r="16" spans="1:3" x14ac:dyDescent="0.25">
      <c r="A16">
        <v>15</v>
      </c>
      <c r="B16">
        <v>29</v>
      </c>
      <c r="C16">
        <v>279</v>
      </c>
    </row>
    <row r="17" spans="1:3" x14ac:dyDescent="0.25">
      <c r="A17">
        <v>16</v>
      </c>
      <c r="B17">
        <v>31</v>
      </c>
      <c r="C17">
        <v>304</v>
      </c>
    </row>
    <row r="18" spans="1:3" x14ac:dyDescent="0.25">
      <c r="A18">
        <v>17</v>
      </c>
      <c r="B18">
        <v>33</v>
      </c>
      <c r="C18">
        <v>314</v>
      </c>
    </row>
    <row r="19" spans="1:3" x14ac:dyDescent="0.25">
      <c r="A19">
        <v>18</v>
      </c>
      <c r="B19">
        <v>35</v>
      </c>
      <c r="C19">
        <v>341</v>
      </c>
    </row>
    <row r="20" spans="1:3" x14ac:dyDescent="0.25">
      <c r="A20">
        <v>19</v>
      </c>
      <c r="B20">
        <v>37</v>
      </c>
      <c r="C20">
        <v>353</v>
      </c>
    </row>
    <row r="21" spans="1:3" x14ac:dyDescent="0.25">
      <c r="A21">
        <v>20</v>
      </c>
      <c r="B21">
        <v>39</v>
      </c>
      <c r="C21">
        <v>386</v>
      </c>
    </row>
    <row r="22" spans="1:3" x14ac:dyDescent="0.25">
      <c r="A22">
        <v>21</v>
      </c>
      <c r="B22">
        <v>41</v>
      </c>
      <c r="C22">
        <v>400</v>
      </c>
    </row>
    <row r="23" spans="1:3" x14ac:dyDescent="0.25">
      <c r="A23">
        <v>22</v>
      </c>
      <c r="B23">
        <v>43</v>
      </c>
      <c r="C23">
        <v>432</v>
      </c>
    </row>
    <row r="24" spans="1:3" x14ac:dyDescent="0.25">
      <c r="A24">
        <v>23</v>
      </c>
      <c r="B24">
        <v>45</v>
      </c>
      <c r="C24">
        <v>448</v>
      </c>
    </row>
    <row r="25" spans="1:3" x14ac:dyDescent="0.25">
      <c r="A25">
        <v>24</v>
      </c>
      <c r="B25">
        <v>47</v>
      </c>
      <c r="C25">
        <v>469</v>
      </c>
    </row>
    <row r="26" spans="1:3" x14ac:dyDescent="0.25">
      <c r="A26">
        <v>25</v>
      </c>
      <c r="B26">
        <v>49</v>
      </c>
      <c r="C26">
        <v>489</v>
      </c>
    </row>
    <row r="27" spans="1:3" x14ac:dyDescent="0.25">
      <c r="A27">
        <v>26</v>
      </c>
      <c r="B27">
        <v>51</v>
      </c>
      <c r="C27">
        <v>541</v>
      </c>
    </row>
    <row r="28" spans="1:3" x14ac:dyDescent="0.25">
      <c r="A28">
        <v>27</v>
      </c>
      <c r="B28">
        <v>53</v>
      </c>
      <c r="C28">
        <v>557</v>
      </c>
    </row>
    <row r="29" spans="1:3" x14ac:dyDescent="0.25">
      <c r="A29">
        <v>28</v>
      </c>
      <c r="B29">
        <v>55</v>
      </c>
      <c r="C29">
        <v>589</v>
      </c>
    </row>
    <row r="30" spans="1:3" x14ac:dyDescent="0.25">
      <c r="A30">
        <v>29</v>
      </c>
      <c r="B30">
        <v>57</v>
      </c>
      <c r="C30">
        <v>628</v>
      </c>
    </row>
    <row r="31" spans="1:3" x14ac:dyDescent="0.25">
      <c r="A31">
        <v>30</v>
      </c>
      <c r="B31">
        <v>60</v>
      </c>
      <c r="C31">
        <v>656</v>
      </c>
    </row>
    <row r="32" spans="1:3" x14ac:dyDescent="0.25">
      <c r="A32">
        <v>31</v>
      </c>
      <c r="B32">
        <v>62</v>
      </c>
      <c r="C32">
        <v>678</v>
      </c>
    </row>
    <row r="33" spans="1:3" x14ac:dyDescent="0.25">
      <c r="A33">
        <v>32</v>
      </c>
      <c r="B33">
        <v>64</v>
      </c>
      <c r="C33">
        <v>697</v>
      </c>
    </row>
    <row r="34" spans="1:3" x14ac:dyDescent="0.25">
      <c r="A34">
        <v>33</v>
      </c>
      <c r="B34">
        <v>66</v>
      </c>
      <c r="C34">
        <v>719</v>
      </c>
    </row>
    <row r="35" spans="1:3" x14ac:dyDescent="0.25">
      <c r="A35">
        <v>34</v>
      </c>
      <c r="B35">
        <v>68</v>
      </c>
      <c r="C35">
        <v>776</v>
      </c>
    </row>
    <row r="36" spans="1:3" x14ac:dyDescent="0.25">
      <c r="A36">
        <v>35</v>
      </c>
      <c r="B36">
        <v>70</v>
      </c>
      <c r="C36">
        <v>799</v>
      </c>
    </row>
    <row r="37" spans="1:3" x14ac:dyDescent="0.25">
      <c r="A37">
        <v>36</v>
      </c>
      <c r="B37">
        <v>72</v>
      </c>
      <c r="C37">
        <v>816</v>
      </c>
    </row>
    <row r="38" spans="1:3" x14ac:dyDescent="0.25">
      <c r="A38">
        <v>37</v>
      </c>
      <c r="B38">
        <v>74</v>
      </c>
      <c r="C38">
        <v>842</v>
      </c>
    </row>
    <row r="39" spans="1:3" x14ac:dyDescent="0.25">
      <c r="A39">
        <v>38</v>
      </c>
      <c r="B39">
        <v>76</v>
      </c>
      <c r="C39">
        <v>900</v>
      </c>
    </row>
    <row r="40" spans="1:3" x14ac:dyDescent="0.25">
      <c r="A40">
        <v>39</v>
      </c>
      <c r="B40">
        <v>78</v>
      </c>
      <c r="C40">
        <v>913</v>
      </c>
    </row>
    <row r="41" spans="1:3" x14ac:dyDescent="0.25">
      <c r="A41">
        <v>40</v>
      </c>
      <c r="B41">
        <v>80</v>
      </c>
      <c r="C41">
        <v>955</v>
      </c>
    </row>
    <row r="42" spans="1:3" x14ac:dyDescent="0.25">
      <c r="A42">
        <v>41</v>
      </c>
      <c r="B42">
        <v>83</v>
      </c>
      <c r="C42">
        <v>977</v>
      </c>
    </row>
    <row r="43" spans="1:3" x14ac:dyDescent="0.25">
      <c r="A43">
        <v>42</v>
      </c>
      <c r="B43">
        <v>85</v>
      </c>
      <c r="C43">
        <v>1015</v>
      </c>
    </row>
    <row r="44" spans="1:3" x14ac:dyDescent="0.25">
      <c r="A44">
        <v>43</v>
      </c>
      <c r="B44">
        <v>87</v>
      </c>
      <c r="C44">
        <v>1053</v>
      </c>
    </row>
    <row r="45" spans="1:3" x14ac:dyDescent="0.25">
      <c r="A45">
        <v>44</v>
      </c>
      <c r="B45">
        <v>89</v>
      </c>
      <c r="C45">
        <v>1085</v>
      </c>
    </row>
    <row r="46" spans="1:3" x14ac:dyDescent="0.25">
      <c r="A46">
        <v>45</v>
      </c>
      <c r="B46">
        <v>92</v>
      </c>
      <c r="C46">
        <v>1120</v>
      </c>
    </row>
    <row r="47" spans="1:3" x14ac:dyDescent="0.25">
      <c r="A47">
        <v>46</v>
      </c>
      <c r="B47">
        <v>94</v>
      </c>
      <c r="C47">
        <v>1159</v>
      </c>
    </row>
    <row r="48" spans="1:3" x14ac:dyDescent="0.25">
      <c r="A48">
        <v>47</v>
      </c>
      <c r="B48">
        <v>96</v>
      </c>
      <c r="C48">
        <v>1196</v>
      </c>
    </row>
    <row r="49" spans="1:3" x14ac:dyDescent="0.25">
      <c r="A49">
        <v>48</v>
      </c>
      <c r="B49">
        <v>98</v>
      </c>
      <c r="C49">
        <v>1235</v>
      </c>
    </row>
    <row r="50" spans="1:3" x14ac:dyDescent="0.25">
      <c r="A50">
        <v>49</v>
      </c>
      <c r="B50">
        <v>101</v>
      </c>
      <c r="C50">
        <v>1257</v>
      </c>
    </row>
    <row r="51" spans="1:3" x14ac:dyDescent="0.25">
      <c r="A51">
        <v>50</v>
      </c>
      <c r="B51">
        <v>103</v>
      </c>
      <c r="C51">
        <v>1292</v>
      </c>
    </row>
    <row r="52" spans="1:3" x14ac:dyDescent="0.25">
      <c r="A52">
        <v>51</v>
      </c>
      <c r="B52">
        <v>105</v>
      </c>
      <c r="C52">
        <v>1338</v>
      </c>
    </row>
    <row r="53" spans="1:3" x14ac:dyDescent="0.25">
      <c r="A53">
        <v>52</v>
      </c>
      <c r="B53">
        <v>107</v>
      </c>
      <c r="C53">
        <v>1373</v>
      </c>
    </row>
    <row r="54" spans="1:3" x14ac:dyDescent="0.25">
      <c r="A54">
        <v>53</v>
      </c>
      <c r="B54">
        <v>109</v>
      </c>
      <c r="C54">
        <v>1426</v>
      </c>
    </row>
    <row r="55" spans="1:3" x14ac:dyDescent="0.25">
      <c r="A55">
        <v>54</v>
      </c>
      <c r="B55">
        <v>111</v>
      </c>
      <c r="C55">
        <v>1452</v>
      </c>
    </row>
    <row r="56" spans="1:3" x14ac:dyDescent="0.25">
      <c r="A56">
        <v>55</v>
      </c>
      <c r="B56">
        <v>114</v>
      </c>
      <c r="C56">
        <v>1502</v>
      </c>
    </row>
    <row r="57" spans="1:3" x14ac:dyDescent="0.25">
      <c r="A57">
        <v>56</v>
      </c>
      <c r="B57">
        <v>117</v>
      </c>
      <c r="C57">
        <v>1550</v>
      </c>
    </row>
    <row r="58" spans="1:3" x14ac:dyDescent="0.25">
      <c r="A58">
        <v>57</v>
      </c>
      <c r="B58">
        <v>119</v>
      </c>
      <c r="C58">
        <v>1597</v>
      </c>
    </row>
    <row r="59" spans="1:3" x14ac:dyDescent="0.25">
      <c r="A59">
        <v>58</v>
      </c>
      <c r="B59">
        <v>121</v>
      </c>
      <c r="C59">
        <v>1655</v>
      </c>
    </row>
    <row r="60" spans="1:3" x14ac:dyDescent="0.25">
      <c r="A60">
        <v>59</v>
      </c>
      <c r="B60">
        <v>123</v>
      </c>
      <c r="C60">
        <v>1705</v>
      </c>
    </row>
    <row r="61" spans="1:3" x14ac:dyDescent="0.25">
      <c r="A61">
        <v>60</v>
      </c>
      <c r="B61">
        <v>125</v>
      </c>
      <c r="C61">
        <v>1747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82A0C-04A3-49DB-B0E0-9865C7094F9F}">
  <dimension ref="A1:C61"/>
  <sheetViews>
    <sheetView workbookViewId="0">
      <selection activeCell="A2" sqref="A2"/>
    </sheetView>
  </sheetViews>
  <sheetFormatPr defaultRowHeight="15" x14ac:dyDescent="0.25"/>
  <sheetData>
    <row r="1" spans="1:3" x14ac:dyDescent="0.25">
      <c r="A1" t="s">
        <v>0</v>
      </c>
      <c r="B1" t="s">
        <v>3</v>
      </c>
      <c r="C1" t="s">
        <v>7</v>
      </c>
    </row>
    <row r="2" spans="1:3" x14ac:dyDescent="0.25">
      <c r="A2">
        <v>1</v>
      </c>
      <c r="B2">
        <v>0</v>
      </c>
      <c r="C2">
        <v>167</v>
      </c>
    </row>
    <row r="3" spans="1:3" x14ac:dyDescent="0.25">
      <c r="A3">
        <v>2</v>
      </c>
      <c r="B3">
        <v>2</v>
      </c>
      <c r="C3">
        <v>184</v>
      </c>
    </row>
    <row r="4" spans="1:3" x14ac:dyDescent="0.25">
      <c r="A4">
        <v>3</v>
      </c>
      <c r="B4">
        <v>4</v>
      </c>
      <c r="C4">
        <v>195</v>
      </c>
    </row>
    <row r="5" spans="1:3" x14ac:dyDescent="0.25">
      <c r="A5">
        <v>4</v>
      </c>
      <c r="B5">
        <v>6</v>
      </c>
      <c r="C5">
        <v>198</v>
      </c>
    </row>
    <row r="6" spans="1:3" x14ac:dyDescent="0.25">
      <c r="A6">
        <v>5</v>
      </c>
      <c r="B6">
        <v>8</v>
      </c>
      <c r="C6">
        <v>202</v>
      </c>
    </row>
    <row r="7" spans="1:3" x14ac:dyDescent="0.25">
      <c r="A7">
        <v>6</v>
      </c>
      <c r="B7">
        <v>10</v>
      </c>
      <c r="C7">
        <v>225</v>
      </c>
    </row>
    <row r="8" spans="1:3" x14ac:dyDescent="0.25">
      <c r="A8">
        <v>7</v>
      </c>
      <c r="B8">
        <v>12</v>
      </c>
      <c r="C8">
        <v>253</v>
      </c>
    </row>
    <row r="9" spans="1:3" x14ac:dyDescent="0.25">
      <c r="A9">
        <v>8</v>
      </c>
      <c r="B9">
        <v>14</v>
      </c>
      <c r="C9">
        <v>277</v>
      </c>
    </row>
    <row r="10" spans="1:3" x14ac:dyDescent="0.25">
      <c r="A10">
        <v>9</v>
      </c>
      <c r="B10">
        <v>16</v>
      </c>
      <c r="C10">
        <v>303</v>
      </c>
    </row>
    <row r="11" spans="1:3" x14ac:dyDescent="0.25">
      <c r="A11">
        <v>10</v>
      </c>
      <c r="B11">
        <v>18</v>
      </c>
      <c r="C11">
        <v>329</v>
      </c>
    </row>
    <row r="12" spans="1:3" x14ac:dyDescent="0.25">
      <c r="A12">
        <v>11</v>
      </c>
      <c r="B12">
        <v>20</v>
      </c>
      <c r="C12">
        <v>362</v>
      </c>
    </row>
    <row r="13" spans="1:3" x14ac:dyDescent="0.25">
      <c r="A13">
        <v>12</v>
      </c>
      <c r="B13">
        <v>22</v>
      </c>
      <c r="C13">
        <v>372</v>
      </c>
    </row>
    <row r="14" spans="1:3" x14ac:dyDescent="0.25">
      <c r="A14">
        <v>13</v>
      </c>
      <c r="B14">
        <v>24</v>
      </c>
      <c r="C14">
        <v>402</v>
      </c>
    </row>
    <row r="15" spans="1:3" x14ac:dyDescent="0.25">
      <c r="A15">
        <v>14</v>
      </c>
      <c r="B15">
        <v>27</v>
      </c>
      <c r="C15">
        <v>443</v>
      </c>
    </row>
    <row r="16" spans="1:3" x14ac:dyDescent="0.25">
      <c r="A16">
        <v>15</v>
      </c>
      <c r="B16">
        <v>29</v>
      </c>
      <c r="C16">
        <v>460</v>
      </c>
    </row>
    <row r="17" spans="1:3" x14ac:dyDescent="0.25">
      <c r="A17">
        <v>16</v>
      </c>
      <c r="B17">
        <v>31</v>
      </c>
      <c r="C17">
        <v>502</v>
      </c>
    </row>
    <row r="18" spans="1:3" x14ac:dyDescent="0.25">
      <c r="A18">
        <v>17</v>
      </c>
      <c r="B18">
        <v>33</v>
      </c>
      <c r="C18">
        <v>518</v>
      </c>
    </row>
    <row r="19" spans="1:3" x14ac:dyDescent="0.25">
      <c r="A19">
        <v>18</v>
      </c>
      <c r="B19">
        <v>35</v>
      </c>
      <c r="C19">
        <v>562</v>
      </c>
    </row>
    <row r="20" spans="1:3" x14ac:dyDescent="0.25">
      <c r="A20">
        <v>19</v>
      </c>
      <c r="B20">
        <v>37</v>
      </c>
      <c r="C20">
        <v>583</v>
      </c>
    </row>
    <row r="21" spans="1:3" x14ac:dyDescent="0.25">
      <c r="A21">
        <v>20</v>
      </c>
      <c r="B21">
        <v>39</v>
      </c>
      <c r="C21">
        <v>636</v>
      </c>
    </row>
    <row r="22" spans="1:3" x14ac:dyDescent="0.25">
      <c r="A22">
        <v>21</v>
      </c>
      <c r="B22">
        <v>41</v>
      </c>
      <c r="C22">
        <v>660</v>
      </c>
    </row>
    <row r="23" spans="1:3" x14ac:dyDescent="0.25">
      <c r="A23">
        <v>22</v>
      </c>
      <c r="B23">
        <v>43</v>
      </c>
      <c r="C23">
        <v>712</v>
      </c>
    </row>
    <row r="24" spans="1:3" x14ac:dyDescent="0.25">
      <c r="A24">
        <v>23</v>
      </c>
      <c r="B24">
        <v>45</v>
      </c>
      <c r="C24">
        <v>739</v>
      </c>
    </row>
    <row r="25" spans="1:3" x14ac:dyDescent="0.25">
      <c r="A25">
        <v>24</v>
      </c>
      <c r="B25">
        <v>47</v>
      </c>
      <c r="C25">
        <v>775</v>
      </c>
    </row>
    <row r="26" spans="1:3" x14ac:dyDescent="0.25">
      <c r="A26">
        <v>25</v>
      </c>
      <c r="B26">
        <v>49</v>
      </c>
      <c r="C26">
        <v>807</v>
      </c>
    </row>
    <row r="27" spans="1:3" x14ac:dyDescent="0.25">
      <c r="A27">
        <v>26</v>
      </c>
      <c r="B27">
        <v>51</v>
      </c>
      <c r="C27">
        <v>893</v>
      </c>
    </row>
    <row r="28" spans="1:3" x14ac:dyDescent="0.25">
      <c r="A28">
        <v>27</v>
      </c>
      <c r="B28">
        <v>53</v>
      </c>
      <c r="C28">
        <v>919</v>
      </c>
    </row>
    <row r="29" spans="1:3" x14ac:dyDescent="0.25">
      <c r="A29">
        <v>28</v>
      </c>
      <c r="B29">
        <v>55</v>
      </c>
      <c r="C29">
        <v>972</v>
      </c>
    </row>
    <row r="30" spans="1:3" x14ac:dyDescent="0.25">
      <c r="A30">
        <v>29</v>
      </c>
      <c r="B30">
        <v>57</v>
      </c>
      <c r="C30">
        <v>1036</v>
      </c>
    </row>
    <row r="31" spans="1:3" x14ac:dyDescent="0.25">
      <c r="A31">
        <v>30</v>
      </c>
      <c r="B31">
        <v>60</v>
      </c>
      <c r="C31">
        <v>1082</v>
      </c>
    </row>
    <row r="32" spans="1:3" x14ac:dyDescent="0.25">
      <c r="A32">
        <v>31</v>
      </c>
      <c r="B32">
        <v>62</v>
      </c>
      <c r="C32">
        <v>1119</v>
      </c>
    </row>
    <row r="33" spans="1:3" x14ac:dyDescent="0.25">
      <c r="A33">
        <v>32</v>
      </c>
      <c r="B33">
        <v>64</v>
      </c>
      <c r="C33">
        <v>1149</v>
      </c>
    </row>
    <row r="34" spans="1:3" x14ac:dyDescent="0.25">
      <c r="A34">
        <v>33</v>
      </c>
      <c r="B34">
        <v>66</v>
      </c>
      <c r="C34">
        <v>1187</v>
      </c>
    </row>
    <row r="35" spans="1:3" x14ac:dyDescent="0.25">
      <c r="A35">
        <v>34</v>
      </c>
      <c r="B35">
        <v>68</v>
      </c>
      <c r="C35">
        <v>1281</v>
      </c>
    </row>
    <row r="36" spans="1:3" x14ac:dyDescent="0.25">
      <c r="A36">
        <v>35</v>
      </c>
      <c r="B36">
        <v>70</v>
      </c>
      <c r="C36">
        <v>1318</v>
      </c>
    </row>
    <row r="37" spans="1:3" x14ac:dyDescent="0.25">
      <c r="A37">
        <v>36</v>
      </c>
      <c r="B37">
        <v>72</v>
      </c>
      <c r="C37">
        <v>1346</v>
      </c>
    </row>
    <row r="38" spans="1:3" x14ac:dyDescent="0.25">
      <c r="A38">
        <v>37</v>
      </c>
      <c r="B38">
        <v>74</v>
      </c>
      <c r="C38">
        <v>1388</v>
      </c>
    </row>
    <row r="39" spans="1:3" x14ac:dyDescent="0.25">
      <c r="A39">
        <v>38</v>
      </c>
      <c r="B39">
        <v>76</v>
      </c>
      <c r="C39">
        <v>1485</v>
      </c>
    </row>
    <row r="40" spans="1:3" x14ac:dyDescent="0.25">
      <c r="A40">
        <v>39</v>
      </c>
      <c r="B40">
        <v>78</v>
      </c>
      <c r="C40">
        <v>1506</v>
      </c>
    </row>
    <row r="41" spans="1:3" x14ac:dyDescent="0.25">
      <c r="A41">
        <v>40</v>
      </c>
      <c r="B41">
        <v>80</v>
      </c>
      <c r="C41">
        <v>1576</v>
      </c>
    </row>
    <row r="42" spans="1:3" x14ac:dyDescent="0.25">
      <c r="A42">
        <v>41</v>
      </c>
      <c r="B42">
        <v>83</v>
      </c>
      <c r="C42">
        <v>1613</v>
      </c>
    </row>
    <row r="43" spans="1:3" x14ac:dyDescent="0.25">
      <c r="A43">
        <v>42</v>
      </c>
      <c r="B43">
        <v>85</v>
      </c>
      <c r="C43">
        <v>1675</v>
      </c>
    </row>
    <row r="44" spans="1:3" x14ac:dyDescent="0.25">
      <c r="A44">
        <v>43</v>
      </c>
      <c r="B44">
        <v>87</v>
      </c>
      <c r="C44">
        <v>1738</v>
      </c>
    </row>
    <row r="45" spans="1:3" x14ac:dyDescent="0.25">
      <c r="A45">
        <v>44</v>
      </c>
      <c r="B45">
        <v>89</v>
      </c>
      <c r="C45">
        <v>1790</v>
      </c>
    </row>
    <row r="46" spans="1:3" x14ac:dyDescent="0.25">
      <c r="A46">
        <v>45</v>
      </c>
      <c r="B46">
        <v>92</v>
      </c>
      <c r="C46">
        <v>1847</v>
      </c>
    </row>
    <row r="47" spans="1:3" x14ac:dyDescent="0.25">
      <c r="A47">
        <v>46</v>
      </c>
      <c r="B47">
        <v>94</v>
      </c>
      <c r="C47">
        <v>1912</v>
      </c>
    </row>
    <row r="48" spans="1:3" x14ac:dyDescent="0.25">
      <c r="A48">
        <v>47</v>
      </c>
      <c r="B48">
        <v>96</v>
      </c>
      <c r="C48">
        <v>1973</v>
      </c>
    </row>
    <row r="49" spans="1:3" x14ac:dyDescent="0.25">
      <c r="A49">
        <v>48</v>
      </c>
      <c r="B49">
        <v>98</v>
      </c>
      <c r="C49">
        <v>2039</v>
      </c>
    </row>
    <row r="50" spans="1:3" x14ac:dyDescent="0.25">
      <c r="A50">
        <v>49</v>
      </c>
      <c r="B50">
        <v>101</v>
      </c>
      <c r="C50">
        <v>2074</v>
      </c>
    </row>
    <row r="51" spans="1:3" x14ac:dyDescent="0.25">
      <c r="A51">
        <v>50</v>
      </c>
      <c r="B51">
        <v>103</v>
      </c>
      <c r="C51">
        <v>2132</v>
      </c>
    </row>
    <row r="52" spans="1:3" x14ac:dyDescent="0.25">
      <c r="A52">
        <v>51</v>
      </c>
      <c r="B52">
        <v>105</v>
      </c>
      <c r="C52">
        <v>2208</v>
      </c>
    </row>
    <row r="53" spans="1:3" x14ac:dyDescent="0.25">
      <c r="A53">
        <v>52</v>
      </c>
      <c r="B53">
        <v>107</v>
      </c>
      <c r="C53">
        <v>2267</v>
      </c>
    </row>
    <row r="54" spans="1:3" x14ac:dyDescent="0.25">
      <c r="A54">
        <v>53</v>
      </c>
      <c r="B54">
        <v>109</v>
      </c>
      <c r="C54">
        <v>2353</v>
      </c>
    </row>
    <row r="55" spans="1:3" x14ac:dyDescent="0.25">
      <c r="A55">
        <v>54</v>
      </c>
      <c r="B55">
        <v>111</v>
      </c>
      <c r="C55">
        <v>2396</v>
      </c>
    </row>
    <row r="56" spans="1:3" x14ac:dyDescent="0.25">
      <c r="A56">
        <v>55</v>
      </c>
      <c r="B56">
        <v>114</v>
      </c>
      <c r="C56">
        <v>2479</v>
      </c>
    </row>
    <row r="57" spans="1:3" x14ac:dyDescent="0.25">
      <c r="A57">
        <v>56</v>
      </c>
      <c r="B57">
        <v>117</v>
      </c>
      <c r="C57">
        <v>2558</v>
      </c>
    </row>
    <row r="58" spans="1:3" x14ac:dyDescent="0.25">
      <c r="A58">
        <v>57</v>
      </c>
      <c r="B58">
        <v>119</v>
      </c>
      <c r="C58">
        <v>2634</v>
      </c>
    </row>
    <row r="59" spans="1:3" x14ac:dyDescent="0.25">
      <c r="A59">
        <v>58</v>
      </c>
      <c r="B59">
        <v>121</v>
      </c>
      <c r="C59">
        <v>2731</v>
      </c>
    </row>
    <row r="60" spans="1:3" x14ac:dyDescent="0.25">
      <c r="A60">
        <v>59</v>
      </c>
      <c r="B60">
        <v>123</v>
      </c>
      <c r="C60">
        <v>2813</v>
      </c>
    </row>
    <row r="61" spans="1:3" x14ac:dyDescent="0.25">
      <c r="A61">
        <v>60</v>
      </c>
      <c r="B61">
        <v>125</v>
      </c>
      <c r="C61">
        <v>2881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AB3FD-25E3-4069-9AE4-FEBBC1A5383C}">
  <dimension ref="A1:D61"/>
  <sheetViews>
    <sheetView workbookViewId="0">
      <selection activeCell="G30" sqref="G30"/>
    </sheetView>
  </sheetViews>
  <sheetFormatPr defaultRowHeight="15" x14ac:dyDescent="0.25"/>
  <cols>
    <col min="3" max="3" width="18.42578125" bestFit="1" customWidth="1"/>
  </cols>
  <sheetData>
    <row r="1" spans="1:4" x14ac:dyDescent="0.25">
      <c r="A1" t="s">
        <v>0</v>
      </c>
      <c r="B1" t="s">
        <v>2</v>
      </c>
      <c r="C1" t="s">
        <v>8</v>
      </c>
      <c r="D1" t="s">
        <v>9</v>
      </c>
    </row>
    <row r="2" spans="1:4" x14ac:dyDescent="0.25">
      <c r="A2">
        <v>1</v>
      </c>
      <c r="B2">
        <v>0</v>
      </c>
      <c r="C2">
        <v>25</v>
      </c>
      <c r="D2">
        <v>1</v>
      </c>
    </row>
    <row r="3" spans="1:4" x14ac:dyDescent="0.25">
      <c r="A3">
        <v>2</v>
      </c>
      <c r="B3">
        <v>1</v>
      </c>
      <c r="C3">
        <v>28</v>
      </c>
      <c r="D3">
        <v>1</v>
      </c>
    </row>
    <row r="4" spans="1:4" x14ac:dyDescent="0.25">
      <c r="A4">
        <v>3</v>
      </c>
      <c r="B4">
        <v>1</v>
      </c>
      <c r="C4">
        <v>30</v>
      </c>
      <c r="D4">
        <v>1</v>
      </c>
    </row>
    <row r="5" spans="1:4" x14ac:dyDescent="0.25">
      <c r="A5">
        <v>4</v>
      </c>
      <c r="B5">
        <v>2</v>
      </c>
      <c r="C5">
        <v>30</v>
      </c>
      <c r="D5">
        <v>1</v>
      </c>
    </row>
    <row r="6" spans="1:4" x14ac:dyDescent="0.25">
      <c r="A6">
        <v>5</v>
      </c>
      <c r="B6">
        <v>2</v>
      </c>
      <c r="C6">
        <v>31</v>
      </c>
      <c r="D6">
        <v>1</v>
      </c>
    </row>
    <row r="7" spans="1:4" x14ac:dyDescent="0.25">
      <c r="A7">
        <v>6</v>
      </c>
      <c r="B7">
        <v>3</v>
      </c>
      <c r="C7">
        <v>34</v>
      </c>
      <c r="D7">
        <v>1</v>
      </c>
    </row>
    <row r="8" spans="1:4" x14ac:dyDescent="0.25">
      <c r="A8">
        <v>7</v>
      </c>
      <c r="B8">
        <v>3</v>
      </c>
      <c r="C8">
        <v>38</v>
      </c>
      <c r="D8">
        <v>1</v>
      </c>
    </row>
    <row r="9" spans="1:4" x14ac:dyDescent="0.25">
      <c r="A9">
        <v>8</v>
      </c>
      <c r="B9">
        <v>4</v>
      </c>
      <c r="C9">
        <v>42</v>
      </c>
      <c r="D9">
        <v>1</v>
      </c>
    </row>
    <row r="10" spans="1:4" x14ac:dyDescent="0.25">
      <c r="A10">
        <v>9</v>
      </c>
      <c r="B10">
        <v>4</v>
      </c>
      <c r="C10">
        <v>46</v>
      </c>
      <c r="D10">
        <v>1</v>
      </c>
    </row>
    <row r="11" spans="1:4" x14ac:dyDescent="0.25">
      <c r="A11">
        <v>10</v>
      </c>
      <c r="B11">
        <v>5</v>
      </c>
      <c r="C11">
        <v>50</v>
      </c>
      <c r="D11">
        <v>1</v>
      </c>
    </row>
    <row r="12" spans="1:4" x14ac:dyDescent="0.25">
      <c r="A12">
        <v>11</v>
      </c>
      <c r="B12">
        <v>5</v>
      </c>
      <c r="C12">
        <v>55</v>
      </c>
      <c r="D12">
        <v>1</v>
      </c>
    </row>
    <row r="13" spans="1:4" x14ac:dyDescent="0.25">
      <c r="A13">
        <v>12</v>
      </c>
      <c r="B13">
        <v>6</v>
      </c>
      <c r="C13">
        <v>56</v>
      </c>
      <c r="D13">
        <v>1</v>
      </c>
    </row>
    <row r="14" spans="1:4" x14ac:dyDescent="0.25">
      <c r="A14">
        <v>13</v>
      </c>
      <c r="B14">
        <v>6</v>
      </c>
      <c r="C14">
        <v>61</v>
      </c>
      <c r="D14">
        <v>1</v>
      </c>
    </row>
    <row r="15" spans="1:4" x14ac:dyDescent="0.25">
      <c r="A15">
        <v>14</v>
      </c>
      <c r="B15">
        <v>7</v>
      </c>
      <c r="C15">
        <v>67</v>
      </c>
      <c r="D15">
        <v>1</v>
      </c>
    </row>
    <row r="16" spans="1:4" x14ac:dyDescent="0.25">
      <c r="A16">
        <v>15</v>
      </c>
      <c r="B16">
        <v>7</v>
      </c>
      <c r="C16">
        <v>70</v>
      </c>
      <c r="D16">
        <v>1</v>
      </c>
    </row>
    <row r="17" spans="1:4" x14ac:dyDescent="0.25">
      <c r="A17">
        <v>16</v>
      </c>
      <c r="B17">
        <v>8</v>
      </c>
      <c r="C17">
        <v>76</v>
      </c>
      <c r="D17">
        <v>1</v>
      </c>
    </row>
    <row r="18" spans="1:4" x14ac:dyDescent="0.25">
      <c r="A18">
        <v>17</v>
      </c>
      <c r="B18">
        <v>8</v>
      </c>
      <c r="C18">
        <v>79</v>
      </c>
      <c r="D18">
        <v>1</v>
      </c>
    </row>
    <row r="19" spans="1:4" x14ac:dyDescent="0.25">
      <c r="A19">
        <v>18</v>
      </c>
      <c r="B19">
        <v>9</v>
      </c>
      <c r="C19">
        <v>85</v>
      </c>
      <c r="D19">
        <v>1</v>
      </c>
    </row>
    <row r="20" spans="1:4" x14ac:dyDescent="0.25">
      <c r="A20">
        <v>19</v>
      </c>
      <c r="B20">
        <v>9</v>
      </c>
      <c r="C20">
        <v>88</v>
      </c>
      <c r="D20">
        <v>1</v>
      </c>
    </row>
    <row r="21" spans="1:4" x14ac:dyDescent="0.25">
      <c r="A21">
        <v>20</v>
      </c>
      <c r="B21">
        <v>10</v>
      </c>
      <c r="C21">
        <v>97</v>
      </c>
      <c r="D21">
        <v>1</v>
      </c>
    </row>
    <row r="22" spans="1:4" x14ac:dyDescent="0.25">
      <c r="A22">
        <v>21</v>
      </c>
      <c r="B22">
        <v>10</v>
      </c>
      <c r="C22">
        <v>100</v>
      </c>
      <c r="D22">
        <v>1</v>
      </c>
    </row>
    <row r="23" spans="1:4" x14ac:dyDescent="0.25">
      <c r="A23">
        <v>22</v>
      </c>
      <c r="B23">
        <v>11</v>
      </c>
      <c r="C23">
        <v>108</v>
      </c>
      <c r="D23">
        <v>1</v>
      </c>
    </row>
    <row r="24" spans="1:4" x14ac:dyDescent="0.25">
      <c r="A24">
        <v>23</v>
      </c>
      <c r="B24">
        <v>11</v>
      </c>
      <c r="C24">
        <v>112</v>
      </c>
      <c r="D24">
        <v>1</v>
      </c>
    </row>
    <row r="25" spans="1:4" x14ac:dyDescent="0.25">
      <c r="A25">
        <v>24</v>
      </c>
      <c r="B25">
        <v>12</v>
      </c>
      <c r="C25">
        <v>117</v>
      </c>
      <c r="D25">
        <v>1</v>
      </c>
    </row>
    <row r="26" spans="1:4" x14ac:dyDescent="0.25">
      <c r="A26">
        <v>25</v>
      </c>
      <c r="B26">
        <v>12</v>
      </c>
      <c r="C26">
        <v>122</v>
      </c>
      <c r="D26">
        <v>1</v>
      </c>
    </row>
    <row r="27" spans="1:4" x14ac:dyDescent="0.25">
      <c r="A27">
        <v>26</v>
      </c>
      <c r="B27">
        <v>13</v>
      </c>
      <c r="C27">
        <v>135</v>
      </c>
      <c r="D27">
        <v>1</v>
      </c>
    </row>
    <row r="28" spans="1:4" x14ac:dyDescent="0.25">
      <c r="A28">
        <v>27</v>
      </c>
      <c r="B28">
        <v>13</v>
      </c>
      <c r="C28">
        <v>139</v>
      </c>
      <c r="D28">
        <v>1</v>
      </c>
    </row>
    <row r="29" spans="1:4" x14ac:dyDescent="0.25">
      <c r="A29">
        <v>28</v>
      </c>
      <c r="B29">
        <v>14</v>
      </c>
      <c r="C29">
        <v>147</v>
      </c>
      <c r="D29">
        <v>1</v>
      </c>
    </row>
    <row r="30" spans="1:4" x14ac:dyDescent="0.25">
      <c r="A30">
        <v>29</v>
      </c>
      <c r="B30">
        <v>14</v>
      </c>
      <c r="C30">
        <v>157</v>
      </c>
      <c r="D30">
        <v>1</v>
      </c>
    </row>
    <row r="31" spans="1:4" x14ac:dyDescent="0.25">
      <c r="A31">
        <v>30</v>
      </c>
      <c r="B31">
        <v>15</v>
      </c>
      <c r="C31">
        <v>164</v>
      </c>
      <c r="D31">
        <v>1</v>
      </c>
    </row>
    <row r="32" spans="1:4" x14ac:dyDescent="0.25">
      <c r="A32">
        <v>31</v>
      </c>
      <c r="B32">
        <v>16</v>
      </c>
      <c r="C32">
        <v>170</v>
      </c>
      <c r="D32">
        <v>1</v>
      </c>
    </row>
    <row r="33" spans="1:4" x14ac:dyDescent="0.25">
      <c r="A33">
        <v>32</v>
      </c>
      <c r="B33">
        <v>16</v>
      </c>
      <c r="C33">
        <v>174</v>
      </c>
      <c r="D33">
        <v>1</v>
      </c>
    </row>
    <row r="34" spans="1:4" x14ac:dyDescent="0.25">
      <c r="A34">
        <v>33</v>
      </c>
      <c r="B34">
        <v>17</v>
      </c>
      <c r="C34">
        <v>180</v>
      </c>
      <c r="D34">
        <v>1</v>
      </c>
    </row>
    <row r="35" spans="1:4" x14ac:dyDescent="0.25">
      <c r="A35">
        <v>34</v>
      </c>
      <c r="B35">
        <v>17</v>
      </c>
      <c r="C35">
        <v>194</v>
      </c>
      <c r="D35">
        <v>1</v>
      </c>
    </row>
    <row r="36" spans="1:4" x14ac:dyDescent="0.25">
      <c r="A36">
        <v>35</v>
      </c>
      <c r="B36">
        <v>18</v>
      </c>
      <c r="C36">
        <v>200</v>
      </c>
      <c r="D36">
        <v>1</v>
      </c>
    </row>
    <row r="37" spans="1:4" x14ac:dyDescent="0.25">
      <c r="A37">
        <v>36</v>
      </c>
      <c r="B37">
        <v>18</v>
      </c>
      <c r="C37">
        <v>204</v>
      </c>
      <c r="D37">
        <v>1</v>
      </c>
    </row>
    <row r="38" spans="1:4" x14ac:dyDescent="0.25">
      <c r="A38">
        <v>37</v>
      </c>
      <c r="B38">
        <v>19</v>
      </c>
      <c r="C38">
        <v>211</v>
      </c>
      <c r="D38">
        <v>1</v>
      </c>
    </row>
    <row r="39" spans="1:4" x14ac:dyDescent="0.25">
      <c r="A39">
        <v>38</v>
      </c>
      <c r="B39">
        <v>19</v>
      </c>
      <c r="C39">
        <v>225</v>
      </c>
      <c r="D39">
        <v>1</v>
      </c>
    </row>
    <row r="40" spans="1:4" x14ac:dyDescent="0.25">
      <c r="A40">
        <v>39</v>
      </c>
      <c r="B40">
        <v>20</v>
      </c>
      <c r="C40">
        <v>228</v>
      </c>
      <c r="D40">
        <v>1</v>
      </c>
    </row>
    <row r="41" spans="1:4" x14ac:dyDescent="0.25">
      <c r="A41">
        <v>40</v>
      </c>
      <c r="B41">
        <v>20</v>
      </c>
      <c r="C41">
        <v>239</v>
      </c>
      <c r="D41">
        <v>1</v>
      </c>
    </row>
    <row r="42" spans="1:4" x14ac:dyDescent="0.25">
      <c r="A42">
        <v>41</v>
      </c>
      <c r="B42">
        <v>21</v>
      </c>
      <c r="C42">
        <v>244</v>
      </c>
      <c r="D42">
        <v>1</v>
      </c>
    </row>
    <row r="43" spans="1:4" x14ac:dyDescent="0.25">
      <c r="A43">
        <v>42</v>
      </c>
      <c r="B43">
        <v>21</v>
      </c>
      <c r="C43">
        <v>254</v>
      </c>
      <c r="D43">
        <v>1</v>
      </c>
    </row>
    <row r="44" spans="1:4" x14ac:dyDescent="0.25">
      <c r="A44">
        <v>43</v>
      </c>
      <c r="B44">
        <v>22</v>
      </c>
      <c r="C44">
        <v>263</v>
      </c>
      <c r="D44">
        <v>1</v>
      </c>
    </row>
    <row r="45" spans="1:4" x14ac:dyDescent="0.25">
      <c r="A45">
        <v>44</v>
      </c>
      <c r="B45">
        <v>22</v>
      </c>
      <c r="C45">
        <v>271</v>
      </c>
      <c r="D45">
        <v>1</v>
      </c>
    </row>
    <row r="46" spans="1:4" x14ac:dyDescent="0.25">
      <c r="A46">
        <v>45</v>
      </c>
      <c r="B46">
        <v>23</v>
      </c>
      <c r="C46">
        <v>280</v>
      </c>
      <c r="D46">
        <v>1</v>
      </c>
    </row>
    <row r="47" spans="1:4" x14ac:dyDescent="0.25">
      <c r="A47">
        <v>46</v>
      </c>
      <c r="B47">
        <v>24</v>
      </c>
      <c r="C47">
        <v>290</v>
      </c>
      <c r="D47">
        <v>1</v>
      </c>
    </row>
    <row r="48" spans="1:4" x14ac:dyDescent="0.25">
      <c r="A48">
        <v>47</v>
      </c>
      <c r="B48">
        <v>24</v>
      </c>
      <c r="C48">
        <v>299</v>
      </c>
      <c r="D48">
        <v>1</v>
      </c>
    </row>
    <row r="49" spans="1:4" x14ac:dyDescent="0.25">
      <c r="A49">
        <v>48</v>
      </c>
      <c r="B49">
        <v>25</v>
      </c>
      <c r="C49">
        <v>309</v>
      </c>
      <c r="D49">
        <v>1</v>
      </c>
    </row>
    <row r="50" spans="1:4" x14ac:dyDescent="0.25">
      <c r="A50">
        <v>49</v>
      </c>
      <c r="B50">
        <v>25</v>
      </c>
      <c r="C50">
        <v>314</v>
      </c>
      <c r="D50">
        <v>1</v>
      </c>
    </row>
    <row r="51" spans="1:4" x14ac:dyDescent="0.25">
      <c r="A51">
        <v>50</v>
      </c>
      <c r="B51">
        <v>26</v>
      </c>
      <c r="C51">
        <v>323</v>
      </c>
      <c r="D51">
        <v>1</v>
      </c>
    </row>
    <row r="52" spans="1:4" x14ac:dyDescent="0.25">
      <c r="A52">
        <v>51</v>
      </c>
      <c r="B52">
        <v>26</v>
      </c>
      <c r="C52">
        <v>335</v>
      </c>
      <c r="D52">
        <v>1</v>
      </c>
    </row>
    <row r="53" spans="1:4" x14ac:dyDescent="0.25">
      <c r="A53">
        <v>52</v>
      </c>
      <c r="B53">
        <v>27</v>
      </c>
      <c r="C53">
        <v>343</v>
      </c>
      <c r="D53">
        <v>1</v>
      </c>
    </row>
    <row r="54" spans="1:4" x14ac:dyDescent="0.25">
      <c r="A54">
        <v>53</v>
      </c>
      <c r="B54">
        <v>27</v>
      </c>
      <c r="C54">
        <v>357</v>
      </c>
      <c r="D54">
        <v>1</v>
      </c>
    </row>
    <row r="55" spans="1:4" x14ac:dyDescent="0.25">
      <c r="A55">
        <v>54</v>
      </c>
      <c r="B55">
        <v>28</v>
      </c>
      <c r="C55">
        <v>363</v>
      </c>
      <c r="D55">
        <v>1</v>
      </c>
    </row>
    <row r="56" spans="1:4" x14ac:dyDescent="0.25">
      <c r="A56">
        <v>55</v>
      </c>
      <c r="B56">
        <v>29</v>
      </c>
      <c r="C56">
        <v>376</v>
      </c>
      <c r="D56">
        <v>1</v>
      </c>
    </row>
    <row r="57" spans="1:4" x14ac:dyDescent="0.25">
      <c r="A57">
        <v>56</v>
      </c>
      <c r="B57">
        <v>29</v>
      </c>
      <c r="C57">
        <v>388</v>
      </c>
      <c r="D57">
        <v>1</v>
      </c>
    </row>
    <row r="58" spans="1:4" x14ac:dyDescent="0.25">
      <c r="A58">
        <v>57</v>
      </c>
      <c r="B58">
        <v>30</v>
      </c>
      <c r="C58">
        <v>399</v>
      </c>
      <c r="D58">
        <v>1</v>
      </c>
    </row>
    <row r="59" spans="1:4" x14ac:dyDescent="0.25">
      <c r="A59">
        <v>58</v>
      </c>
      <c r="B59">
        <v>30</v>
      </c>
      <c r="C59">
        <v>414</v>
      </c>
      <c r="D59">
        <v>1</v>
      </c>
    </row>
    <row r="60" spans="1:4" x14ac:dyDescent="0.25">
      <c r="A60">
        <v>59</v>
      </c>
      <c r="B60">
        <v>31</v>
      </c>
      <c r="C60">
        <v>426</v>
      </c>
      <c r="D60">
        <v>1</v>
      </c>
    </row>
    <row r="61" spans="1:4" x14ac:dyDescent="0.25">
      <c r="A61">
        <v>60</v>
      </c>
      <c r="B61">
        <v>31</v>
      </c>
      <c r="C61">
        <v>437</v>
      </c>
      <c r="D6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DamageSim</vt:lpstr>
      <vt:lpstr>IntellectBase</vt:lpstr>
      <vt:lpstr>VitalityBase</vt:lpstr>
      <vt:lpstr>AgilityBase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panthA</dc:creator>
  <cp:lastModifiedBy>panthA</cp:lastModifiedBy>
  <dcterms:created xsi:type="dcterms:W3CDTF">2021-03-23T05:31:43Z</dcterms:created>
  <dcterms:modified xsi:type="dcterms:W3CDTF">2021-03-23T09:56:59Z</dcterms:modified>
</cp:coreProperties>
</file>